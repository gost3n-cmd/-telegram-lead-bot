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Home" sheetId="1" state="visible" r:id="rId3"/>
    <sheet name="🎯 01 Strategy" sheetId="2" state="visible" r:id="rId4"/>
    <sheet name="📱 02 Accounts" sheetId="3" state="visible" r:id="rId5"/>
    <sheet name="🧠 03 Psychology" sheetId="4" state="visible" r:id="rId6"/>
    <sheet name="🎬 04 Content Engine" sheetId="5" state="visible" r:id="rId7"/>
    <sheet name="⚙️ 05 Pipeline" sheetId="6" state="visible" r:id="rId8"/>
    <sheet name="👥 06 Team" sheetId="7" state="visible" r:id="rId9"/>
    <sheet name="🛠️ 07 AI Stack" sheetId="8" state="visible" r:id="rId10"/>
    <sheet name="📈 08 KPI Dashboard" sheetId="9" state="visible" r:id="rId11"/>
    <sheet name="📚 09 Content Bank" sheetId="10" state="visible" r:id="rId12"/>
    <sheet name="🔬 10 Reality Check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<sst xmlns="http://schemas.openxmlformats.org/spreadsheetml/2006/main" count="1379" uniqueCount="1075">
  <si>
    <t xml:space="preserve">CONTENT OPERATING SYSTEM</t>
  </si>
  <si>
    <t xml:space="preserve">🧠  AI / PRODUCTIVITY / DIGITAL TOOLS — REELS GROWTH OS</t>
  </si>
  <si>
    <t xml:space="preserve">Производственная система коротких видео для Instagram, построенная на 6 психологических принципах удержания и распространения, а не на догадках.</t>
  </si>
  <si>
    <t xml:space="preserve">  СЕВЕРНАЯ ЗВЕЗДА</t>
  </si>
  <si>
    <t xml:space="preserve">Цель</t>
  </si>
  <si>
    <t xml:space="preserve">100 000 000 просмотров / месяц</t>
  </si>
  <si>
    <t xml:space="preserve">Объём</t>
  </si>
  <si>
    <t xml:space="preserve">100 видео / день · 3 000 / месяц</t>
  </si>
  <si>
    <t xml:space="preserve">Экосистема</t>
  </si>
  <si>
    <t xml:space="preserve">15 нишевых Instagram-аккаунтов</t>
  </si>
  <si>
    <t xml:space="preserve">Логика модели</t>
  </si>
  <si>
    <t xml:space="preserve">Каждый сценарий = 1 из 6 психологических триггеров</t>
  </si>
  <si>
    <t xml:space="preserve">  АРХИТЕКТУРА: 5 СЛОЁВ + 2 ПРИЛОЖЕНИЯ</t>
  </si>
  <si>
    <t xml:space="preserve">Слой</t>
  </si>
  <si>
    <t xml:space="preserve">Назначение</t>
  </si>
  <si>
    <t xml:space="preserve">Листы</t>
  </si>
  <si>
    <t xml:space="preserve">L1 · STRATEGY</t>
  </si>
  <si>
    <t xml:space="preserve">Куда мы идём и насколько масштабируемся</t>
  </si>
  <si>
    <t xml:space="preserve">🎯 01 Strategy  ·  📱 02 Accounts</t>
  </si>
  <si>
    <t xml:space="preserve">L2 · PSYCHOLOGY</t>
  </si>
  <si>
    <t xml:space="preserve">Почему человек останавливается, досматривает и делится</t>
  </si>
  <si>
    <t xml:space="preserve">🧠 03 Psychology</t>
  </si>
  <si>
    <t xml:space="preserve">L3 · CONTENT ENGINE</t>
  </si>
  <si>
    <t xml:space="preserve">Как психология превращается в готовый сценарий</t>
  </si>
  <si>
    <t xml:space="preserve">🎬 04 Content Engine  ·  📚 09 Content Bank</t>
  </si>
  <si>
    <t xml:space="preserve">L4 · EXECUTION</t>
  </si>
  <si>
    <t xml:space="preserve">Как 1 сценарий становится 100 опубликованными видео в день</t>
  </si>
  <si>
    <t xml:space="preserve">⚙️ 05 Pipeline  ·  👥 06 Team  ·  🛠️ 07 AI Stack</t>
  </si>
  <si>
    <t xml:space="preserve">L5 · KPI &amp; ANALYTICS</t>
  </si>
  <si>
    <t xml:space="preserve">Как мы понимаем, что система действительно работает</t>
  </si>
  <si>
    <t xml:space="preserve">📈 08 KPI Dashboard</t>
  </si>
  <si>
    <t xml:space="preserve">ПРИЛОЖЕНИЕ · REALITY CHECK</t>
  </si>
  <si>
    <t xml:space="preserve">Что может сломать систему в Instagram и как это компенсировать</t>
  </si>
  <si>
    <t xml:space="preserve">🔬 10 Reality Check</t>
  </si>
  <si>
    <t xml:space="preserve">  КАК ПОЛЬЗОВАТЬСЯ ФАЙЛОМ</t>
  </si>
  <si>
    <t xml:space="preserve">•  Двигайтесь по вкладкам слева направо — это и есть последовательность производства: Strategy → Psychology → Content Engine → Execution → KPI.</t>
  </si>
  <si>
    <t xml:space="preserve">•  Каждое видео в «09 Content Bank» явно ссылается на 1 из 6 принципов из «03 Psychology» — это не два независимых листа, а вход и выход одной модели.</t>
  </si>
  <si>
    <t xml:space="preserve">•  Цветной квадрат слева от названия слоя выше = цвет вкладки этого слоя внизу экрана — так проще ориентироваться, не открывая каждый лист.</t>
  </si>
  <si>
    <t xml:space="preserve">•  Перед публикацией контента, произведённого по системе, прочитайте «10 Reality Check» — он объясняет, что может занижать охват и как это обойти.</t>
  </si>
  <si>
    <t xml:space="preserve">LAYER 1 · STRATEGY</t>
  </si>
  <si>
    <t xml:space="preserve">🎯  ЦЕЛИ, KPI-КАСКАД И ЛОГИКА МАСШТАБИРОВАНИЯ</t>
  </si>
  <si>
    <t xml:space="preserve">Куда движется система и какими проверяемыми шагами она туда доходит.</t>
  </si>
  <si>
    <t xml:space="preserve">  ВХОДНЫЕ ДОПУЩЕНИЯ</t>
  </si>
  <si>
    <t xml:space="preserve">Параметр</t>
  </si>
  <si>
    <t xml:space="preserve">Значение</t>
  </si>
  <si>
    <t xml:space="preserve">Комментарий</t>
  </si>
  <si>
    <t xml:space="preserve">Целевые просмотры / месяц</t>
  </si>
  <si>
    <t xml:space="preserve">Северная метрика всей системы</t>
  </si>
  <si>
    <t xml:space="preserve">Видео в день</t>
  </si>
  <si>
    <t xml:space="preserve">Производственная мощность на полной фазе</t>
  </si>
  <si>
    <t xml:space="preserve">Дней в расчётном месяце</t>
  </si>
  <si>
    <t xml:space="preserve">Стандартный месяц для планирования</t>
  </si>
  <si>
    <t xml:space="preserve">Аккаунтов в экосистеме</t>
  </si>
  <si>
    <t xml:space="preserve">См. 02 Accounts — нишевая сегментация</t>
  </si>
  <si>
    <t xml:space="preserve">  РАСЧЁТНЫЕ ПОКАЗАТЕЛИ (формулы)</t>
  </si>
  <si>
    <t xml:space="preserve">Показатель</t>
  </si>
  <si>
    <t xml:space="preserve">Формула / логика</t>
  </si>
  <si>
    <t xml:space="preserve">Видео в месяц</t>
  </si>
  <si>
    <t xml:space="preserve">Видео/день × Дни</t>
  </si>
  <si>
    <t xml:space="preserve">Видео на 1 аккаунт в день</t>
  </si>
  <si>
    <t xml:space="preserve">Видео/день ÷ Аккаунтов</t>
  </si>
  <si>
    <t xml:space="preserve">Целевое среднее просмотров / видео</t>
  </si>
  <si>
    <t xml:space="preserve">Цель ÷ Видео/месяц</t>
  </si>
  <si>
    <t xml:space="preserve">Целевой охват на 1 аккаунт / месяц</t>
  </si>
  <si>
    <t xml:space="preserve">Цель ÷ Аккаунтов</t>
  </si>
  <si>
    <t xml:space="preserve">  ROADMAP МАСШТАБИРОВАНИЯ КОНТЕНТА</t>
  </si>
  <si>
    <t xml:space="preserve">Фаза / срок</t>
  </si>
  <si>
    <t xml:space="preserve">Видео/день</t>
  </si>
  <si>
    <t xml:space="preserve">Фокус и критерий перехода дальше</t>
  </si>
  <si>
    <t xml:space="preserve">Фаза 0 · Инфраструктура · Нед. 1–2</t>
  </si>
  <si>
    <t xml:space="preserve">0</t>
  </si>
  <si>
    <t xml:space="preserve">Создать и прогреть 15 аккаунтов, собрать библиотеку хуков и шаблонов промптов. Переход: все инструменты подключены, 15 аккаунтов активны.</t>
  </si>
  <si>
    <t xml:space="preserve">Фаза 1 · Тест · Нед. 3–4</t>
  </si>
  <si>
    <t xml:space="preserve">30</t>
  </si>
  <si>
    <t xml:space="preserve">5 аккаунтов, A/B хуков, поиск winning-форматов. Переход: ≥1 видео с органическим охватом &gt;10× от подписчиков аккаунта.</t>
  </si>
  <si>
    <t xml:space="preserve">Фаза 2 · Масштаб I · Мес. 2</t>
  </si>
  <si>
    <t xml:space="preserve">60</t>
  </si>
  <si>
    <t xml:space="preserve">Запуск всех 15 аккаунтов, полная автоматизация войсовера/субтитров. Переход: стабильные 60 видео/день 14 дней подряд без падения retention.</t>
  </si>
  <si>
    <t xml:space="preserve">Фаза 3 · Полный масштаб · Мес. 3</t>
  </si>
  <si>
    <t xml:space="preserve">100</t>
  </si>
  <si>
    <t xml:space="preserve">Pipeline «сценарий → публикация» &lt; 20 мин, запуск нативного промо-слота. Переход: 100 видео/день держится 21 день, очередь kill-листа работает еженедельно.</t>
  </si>
  <si>
    <t xml:space="preserve">Фаза 4 · Оптимизация · Мес. 4–5</t>
  </si>
  <si>
    <t xml:space="preserve">Удвоение топ-20% форматов, отключение слабых ниш, тест платного буста на лидерах. Переход: CPL устойчиво падает 2 месяца подряд.</t>
  </si>
  <si>
    <t xml:space="preserve">Фаза 5 · Цель · Мес. 6</t>
  </si>
  <si>
    <t xml:space="preserve">100 видео/день на максимальной автоматизации, полная интеграция воронки. Цель: 100M просмотров/мес, см. 08 KPI Dashboard.</t>
  </si>
  <si>
    <t xml:space="preserve">  5 СТРАТЕГИЧЕСКИХ ПРИНЦИПОВ</t>
  </si>
  <si>
    <t xml:space="preserve">Принцип</t>
  </si>
  <si>
    <t xml:space="preserve">Суть</t>
  </si>
  <si>
    <t xml:space="preserve">1 · Volume × Automation</t>
  </si>
  <si>
    <t xml:space="preserve">AI-пайплайн производит объём, человек контролирует только QC-шлюз перед публикацией (см. 05 Pipeline).</t>
  </si>
  <si>
    <t xml:space="preserve">2 · Niche Segmentation</t>
  </si>
  <si>
    <t xml:space="preserve">15 аккаунтов = 15 чётких тем. Критично для алгоритмических topic-controls Instagram (см. 10 Reality Check).</t>
  </si>
  <si>
    <t xml:space="preserve">3 · Data-Driven Kill / Scale</t>
  </si>
  <si>
    <t xml:space="preserve">Еженедельно: нижние 20% по retention — в архив, верхние 20% — удваиваем формат (см. 08 KPI Dashboard).</t>
  </si>
  <si>
    <t xml:space="preserve">4 · Hook-First Production</t>
  </si>
  <si>
    <t xml:space="preserve">Сценарий не пишется, пока хук не закреплён за одним из 6 принципов (см. 03 Psychology, 04 Content Engine).</t>
  </si>
  <si>
    <t xml:space="preserve">5 · Funnel Architecture</t>
  </si>
  <si>
    <t xml:space="preserve">Холодный охват через психологию → тёплая аудитория через идентичность/регулярность → конверсия в промо-слоте.</t>
  </si>
  <si>
    <t xml:space="preserve">📱  АРХИТЕКТУРА АККАУНТОВ — 15 НИШЕВЫХ КАНАЛОВ</t>
  </si>
  <si>
    <t xml:space="preserve">Сегментация по нишам напрямую служит Mere Exposure (узнаваемость формата) и алгоритмическим topic-controls Instagram — см. 10 Reality Check.</t>
  </si>
  <si>
    <t xml:space="preserve">  ЭКОСИСТЕМА АККАУНТОВ</t>
  </si>
  <si>
    <t xml:space="preserve">#</t>
  </si>
  <si>
    <t xml:space="preserve">Handle</t>
  </si>
  <si>
    <t xml:space="preserve">Ниша</t>
  </si>
  <si>
    <t xml:space="preserve">Контент-фокус</t>
  </si>
  <si>
    <t xml:space="preserve">Аудитория</t>
  </si>
  <si>
    <t xml:space="preserve">Этап воронки</t>
  </si>
  <si>
    <t xml:space="preserve">Цель подписч. (мес.6)</t>
  </si>
  <si>
    <t xml:space="preserve">@ai_tools_daily</t>
  </si>
  <si>
    <t xml:space="preserve">Обзоры AI-инструментов</t>
  </si>
  <si>
    <t xml:space="preserve">Туториалы, демо, сравнения интерфейсов</t>
  </si>
  <si>
    <t xml:space="preserve">IT-специалисты, предприниматели</t>
  </si>
  <si>
    <t xml:space="preserve">Холодный</t>
  </si>
  <si>
    <t xml:space="preserve">@chatgpt_hacks_</t>
  </si>
  <si>
    <t xml:space="preserve">Лайфхаки ChatGPT</t>
  </si>
  <si>
    <t xml:space="preserve">Скрытые функции, быстрые трюки</t>
  </si>
  <si>
    <t xml:space="preserve">Широкая аудитория 18–35</t>
  </si>
  <si>
    <t xml:space="preserve">@ai_news_fast</t>
  </si>
  <si>
    <t xml:space="preserve">AI-новости за 60 сек</t>
  </si>
  <si>
    <t xml:space="preserve">Breaking news, релизы, рекорды</t>
  </si>
  <si>
    <t xml:space="preserve">Tech-энтузиасты, широкая</t>
  </si>
  <si>
    <t xml:space="preserve">@midjourney_art_</t>
  </si>
  <si>
    <t xml:space="preserve">AI-арт Midjourney/Leonardo</t>
  </si>
  <si>
    <t xml:space="preserve">Шоукейсы, процесс генерации</t>
  </si>
  <si>
    <t xml:space="preserve">Художники, дизайнеры</t>
  </si>
  <si>
    <t xml:space="preserve">Тёплый</t>
  </si>
  <si>
    <t xml:space="preserve">@runway_visions</t>
  </si>
  <si>
    <t xml:space="preserve">AI видео-арт Runway/Pika</t>
  </si>
  <si>
    <t xml:space="preserve">Сгенерированные клипы, wow-эффект</t>
  </si>
  <si>
    <t xml:space="preserve">Широкая, tech-аудитория</t>
  </si>
  <si>
    <t xml:space="preserve">@ai_for_biz_</t>
  </si>
  <si>
    <t xml:space="preserve">AI для бизнеса</t>
  </si>
  <si>
    <t xml:space="preserve">Кейсы, ROI, бизнес-применения</t>
  </si>
  <si>
    <t xml:space="preserve">Предприниматели, менеджеры</t>
  </si>
  <si>
    <t xml:space="preserve">Горячий</t>
  </si>
  <si>
    <t xml:space="preserve">@ai_vs_human_</t>
  </si>
  <si>
    <t xml:space="preserve">AI против человека</t>
  </si>
  <si>
    <t xml:space="preserve">Эксперименты, прямые сравнения</t>
  </si>
  <si>
    <t xml:space="preserve">Широкая, развлекательная</t>
  </si>
  <si>
    <t xml:space="preserve">@ai_money_tips</t>
  </si>
  <si>
    <t xml:space="preserve">Заработок с AI</t>
  </si>
  <si>
    <t xml:space="preserve">Способы монетизации AI-навыков</t>
  </si>
  <si>
    <t xml:space="preserve">Фрилансеры, предприниматели</t>
  </si>
  <si>
    <t xml:space="preserve">@ai_funny_fails</t>
  </si>
  <si>
    <t xml:space="preserve">Приколы и фейлы AI</t>
  </si>
  <si>
    <t xml:space="preserve">Юмор, неожиданные результаты</t>
  </si>
  <si>
    <t xml:space="preserve">Широкая аудитория 16–40</t>
  </si>
  <si>
    <t xml:space="preserve">@learn_ai_fast</t>
  </si>
  <si>
    <t xml:space="preserve">Обучение AI с нуля</t>
  </si>
  <si>
    <t xml:space="preserve">Объяснения тем простым языком</t>
  </si>
  <si>
    <t xml:space="preserve">Студенты, новички</t>
  </si>
  <si>
    <t xml:space="preserve">Конверсия</t>
  </si>
  <si>
    <t xml:space="preserve">@ai_productive_</t>
  </si>
  <si>
    <t xml:space="preserve">Продуктивность с AI</t>
  </si>
  <si>
    <t xml:space="preserve">Рабочие лайфхаки, автоматизация</t>
  </si>
  <si>
    <t xml:space="preserve">Офисные сотрудники, HR</t>
  </si>
  <si>
    <t xml:space="preserve">@ai_code_tricks</t>
  </si>
  <si>
    <t xml:space="preserve">AI для разработчиков</t>
  </si>
  <si>
    <t xml:space="preserve">Coding с AI-ассистентами</t>
  </si>
  <si>
    <t xml:space="preserve">Разработчики, IT-студенты</t>
  </si>
  <si>
    <t xml:space="preserve">@ai_marketing_</t>
  </si>
  <si>
    <t xml:space="preserve">AI в маркетинге</t>
  </si>
  <si>
    <t xml:space="preserve">Кейсы, инструменты, ROI-расчёты</t>
  </si>
  <si>
    <t xml:space="preserve">Маркетологи, SMM-специалисты</t>
  </si>
  <si>
    <t xml:space="preserve">@future_ai_now_</t>
  </si>
  <si>
    <t xml:space="preserve">Будущее AI: прогнозы</t>
  </si>
  <si>
    <t xml:space="preserve">Тренды, предсказания, аналитика</t>
  </si>
  <si>
    <t xml:space="preserve">Tech-энтузиасты, инвесторы</t>
  </si>
  <si>
    <t xml:space="preserve">@[бренд_продукта]</t>
  </si>
  <si>
    <t xml:space="preserve">Промо-аккаунт продукта</t>
  </si>
  <si>
    <t xml:space="preserve">Обучение, кейсы, отзывы клиентов</t>
  </si>
  <si>
    <t xml:space="preserve">Потенциальные клиенты 18–45</t>
  </si>
  <si>
    <t xml:space="preserve">ИТОГО ПО ЭКОСИСТЕМЕ</t>
  </si>
  <si>
    <t xml:space="preserve">видео/день суммарно по всем 15 аккаунтам</t>
  </si>
  <si>
    <t xml:space="preserve">Σ подписч.:</t>
  </si>
  <si>
    <t xml:space="preserve">Легенда «Этап воронки»:  Холодный = первый контакт (психология/виральность)   ·   Тёплый = повторный контакт, узнаваемость (Mere Exposure)   ·   Горячий = готов к действию   ·   Конверсия = прямой призыв к продукту/школе.</t>
  </si>
  <si>
    <t xml:space="preserve">LAYER 2 · PSYCHOLOGY</t>
  </si>
  <si>
    <t xml:space="preserve">🧠  6 ПРИНЦИПОВ УДЕРЖАНИЯ И ВИРАЛЬНОСТИ</t>
  </si>
  <si>
    <t xml:space="preserve">Это ядро модели, а не дополнение: каждый сценарий в 09 Content Bank явно закодирован одним из этих шести принципов.</t>
  </si>
  <si>
    <t xml:space="preserve">  ПРИНЦИП → ПРИМЕНЕНИЕ → ТРИГГЕРЫ → ПРИМЕР</t>
  </si>
  <si>
    <t xml:space="preserve">Применение в Shorts</t>
  </si>
  <si>
    <t xml:space="preserve">Психологические триггеры</t>
  </si>
  <si>
    <t xml:space="preserve">Пример применения</t>
  </si>
  <si>
    <t xml:space="preserve">1 · Mere Exposure Effect</t>
  </si>
  <si>
    <t xml:space="preserve">Узнаваемые форматы важнее оригинальности.
Чем чаще мозг встречает знакомый стимул, тем больше он ему доверяет — даже без новой информации.</t>
  </si>
  <si>
    <t xml:space="preserve">Единый визуальный шаблон (заставка, шрифт, голос, структура подачи) повторяется в каждом видео аккаунта/рубрики, чтобы зритель узнавал формат за доли секунды.</t>
  </si>
  <si>
    <t xml:space="preserve">Узнавание, чувство комфорта, снижение скепсиса — «я уже знаю, что это работает».</t>
  </si>
  <si>
    <t xml:space="preserve">Рубрика «AI за 60 секунд» открывается одной и той же заставкой и фразой ведущего каждый выпуск — зритель остаётся, потому что знает структуру.</t>
  </si>
  <si>
    <t xml:space="preserve">2 · Curiosity Trap</t>
  </si>
  <si>
    <t xml:space="preserve">Информационный разрыв.
Когда человек осознаёт зазор между тем, что он знает, и тем, что хочет узнать, возникает дискомфорт, который закрывается только досмотром.</t>
  </si>
  <si>
    <t xml:space="preserve">Хук озвучивает открытую петлю («один инструмент изменил всё») и удерживает ответ до 70–90% хронометража видео.</t>
  </si>
  <si>
    <t xml:space="preserve">Напряжение, предвкушение, навязчивое желание узнать развязку.</t>
  </si>
  <si>
    <t xml:space="preserve">«Есть настройка ChatGPT, о которой не знают 99% — досмотри до конца» — разгадка даётся только на последних секундах.</t>
  </si>
  <si>
    <t xml:space="preserve">3 · Identity Selling</t>
  </si>
  <si>
    <t xml:space="preserve">Продажа идентичности, не продукта.
Люди не покупают функции — они покупают версию себя, к которой стремятся или которой боятся не соответствовать.</t>
  </si>
  <si>
    <t xml:space="preserve">Контент формулируется как маркер принадлежности к группе («то, что уже знают AI-пользователи 1%»), а не как нейтральный обзор функции.</t>
  </si>
  <si>
    <t xml:space="preserve">Стремление к статусу, страх отстать, защита самооценки, племенная принадлежность.</t>
  </si>
  <si>
    <t xml:space="preserve">«Если ты ещё закрываешь отчёты вручную — это видео для тебя» — зритель смотрит, чтобы перестать быть «тем самым» отстающим.</t>
  </si>
  <si>
    <t xml:space="preserve">4 · Authority / Credentials</t>
  </si>
  <si>
    <t xml:space="preserve">Доверие за 2 секунды.
Зритель решает, доверять ли источнику, в первые 1–2 секунды — до того, как успевает обработать содержание логически.</t>
  </si>
  <si>
    <t xml:space="preserve">Первый кадр показывает доказательство компетенции: экран интерфейса, конкретную цифру результата, а не лицо, рассказывающее со слов.</t>
  </si>
  <si>
    <t xml:space="preserve">Эвристика доверия, снижение скепсиса — «этот человек/аккаунт разбирается».</t>
  </si>
  <si>
    <t xml:space="preserve">«Я протестировал 47 AI-инструментов, чтобы вам не пришлось» с реальным скринкастом сравнения вместо разговора на камеру.</t>
  </si>
  <si>
    <t xml:space="preserve">5 · Social Sharing</t>
  </si>
  <si>
    <t xml:space="preserve">Контент, которым хотят делиться.
Контент распространяется не потому, что он «хороший», а потому что пересылка выгодна самому отправителю — делает его полезным/смешным/в теме.</t>
  </si>
  <si>
    <t xml:space="preserve">В payoff закладывается момент, который хочется переслать конкретному человеку («перешли тому, кто до сих пор делает это руками»).</t>
  </si>
  <si>
    <t xml:space="preserve">Социальная валюта — «я выгляжу полезным/осведомлённым, если поделюсь этим».</t>
  </si>
  <si>
    <t xml:space="preserve">Видео-сравнение «ChatGPT vs Claude в одной задаче» с подписью «сохрани — пригодится в понедельник» рассчитано на сейвы и репосты в директ.</t>
  </si>
  <si>
    <t xml:space="preserve">6 · Storytelling</t>
  </si>
  <si>
    <t xml:space="preserve">Hook → Problem → Story → Resolution.
Нарративная структура удерживает внимание и врезается в память сильнее, чем плоская подача фактов, потому что незавершённая история психологически некомфортна для прерывания.</t>
  </si>
  <si>
    <t xml:space="preserve">Даже 30-секундный обзор инструмента строится как мини-история: завязка (проблема) → конкретное действие героя → развязка с измеримым результатом.</t>
  </si>
  <si>
    <t xml:space="preserve">Нарративная вовлечённость, потребность в завершении, эмоциональная память.</t>
  </si>
  <si>
    <t xml:space="preserve">«Чуть не сорвал дедлайн (hook) → отчёт на 6 часов работы (problem) → нашёл это в 11 вечера (story) → закрыл за 12 минут, вот как именно (resolution)».</t>
  </si>
  <si>
    <t xml:space="preserve">  ВЛИЯНИЕ НА RETENTION И VIRALITY</t>
  </si>
  <si>
    <t xml:space="preserve">Влияние на Retention</t>
  </si>
  <si>
    <t xml:space="preserve">Влияние на Virality</t>
  </si>
  <si>
    <t xml:space="preserve">Когда использовать в первую очередь</t>
  </si>
  <si>
    <t xml:space="preserve">Mere Exposure</t>
  </si>
  <si>
    <t xml:space="preserve">Высокое</t>
  </si>
  <si>
    <t xml:space="preserve">Низкое-среднее</t>
  </si>
  <si>
    <t xml:space="preserve">Постоянные рубрики, серийный контент, фирменные открывашки аккаунта.</t>
  </si>
  <si>
    <t xml:space="preserve">Curiosity Trap</t>
  </si>
  <si>
    <t xml:space="preserve">Очень высокое</t>
  </si>
  <si>
    <t xml:space="preserve">Среднее</t>
  </si>
  <si>
    <t xml:space="preserve">Хук видео, особенно для туториалов и сравнений.</t>
  </si>
  <si>
    <t xml:space="preserve">Identity Selling</t>
  </si>
  <si>
    <t xml:space="preserve">Контент для тёплой/горячей аудитории, нативный промо-слот.</t>
  </si>
  <si>
    <t xml:space="preserve">Authority / Credentials</t>
  </si>
  <si>
    <t xml:space="preserve">Первый кадр любого видео — независимо от пилларa.</t>
  </si>
  <si>
    <t xml:space="preserve">Social Sharing</t>
  </si>
  <si>
    <t xml:space="preserve">Listicle/сравнения и payoff-моменты, рассчитанные на пересылку.</t>
  </si>
  <si>
    <t xml:space="preserve">Storytelling</t>
  </si>
  <si>
    <t xml:space="preserve">Базовый каркас сценария — применяется почти всегда поверх остальных.</t>
  </si>
  <si>
    <t xml:space="preserve">LAYER 3 · CONTENT ENGINE</t>
  </si>
  <si>
    <t xml:space="preserve">🎬  SHORT-FORM SYSTEM: АНАТОМИЯ, ФОРМУЛЫ, ХУКИ</t>
  </si>
  <si>
    <t xml:space="preserve">Как принципы из 03 Psychology становятся производимым сценарием за 3 минуты.</t>
  </si>
  <si>
    <t xml:space="preserve">  АНАТОМИЯ РОЛИКА 0–30 СЕК</t>
  </si>
  <si>
    <t xml:space="preserve">Таймкод</t>
  </si>
  <si>
    <t xml:space="preserve">Назначение блока</t>
  </si>
  <si>
    <t xml:space="preserve">Ведущий принцип</t>
  </si>
  <si>
    <t xml:space="preserve">Типичная ошибка</t>
  </si>
  <si>
    <t xml:space="preserve">0:00–0:02</t>
  </si>
  <si>
    <t xml:space="preserve">Hook — паттерн-прерывание</t>
  </si>
  <si>
    <t xml:space="preserve">Curiosity Trap, Authority</t>
  </si>
  <si>
    <t xml:space="preserve">Хук слишком общий, нет конкретной цифры/факта в первом кадре.</t>
  </si>
  <si>
    <t xml:space="preserve">0:02–0:05</t>
  </si>
  <si>
    <t xml:space="preserve">Обещание / ставки</t>
  </si>
  <si>
    <t xml:space="preserve">Обещание шире, чем реальный payoff — убивает доверие к следующему видео.</t>
  </si>
  <si>
    <t xml:space="preserve">0:05–0:22</t>
  </si>
  <si>
    <t xml:space="preserve">Problem → Story / демонстрация</t>
  </si>
  <si>
    <t xml:space="preserve">Storytelling, Identity Selling</t>
  </si>
  <si>
    <t xml:space="preserve">Демонстрация без сюжета — список фактов вместо истории с героем.</t>
  </si>
  <si>
    <t xml:space="preserve">0:22–0:27</t>
  </si>
  <si>
    <t xml:space="preserve">Resolution — payoff</t>
  </si>
  <si>
    <t xml:space="preserve">Authority, Social Sharing</t>
  </si>
  <si>
    <t xml:space="preserve">Слабый, неконкретный вывод без измеримого результата.</t>
  </si>
  <si>
    <t xml:space="preserve">0:27–0:30</t>
  </si>
  <si>
    <t xml:space="preserve">CTA / loop</t>
  </si>
  <si>
    <t xml:space="preserve">Social Sharing, Mere Exposure</t>
  </si>
  <si>
    <t xml:space="preserve">Общий CTA «подписывайся» вместо конкретного действия (сохрани/перешли/пришли).</t>
  </si>
  <si>
    <t xml:space="preserve">  БИБЛИОТЕКА ХУКОВ — 15 ФОРМУЛ</t>
  </si>
  <si>
    <t xml:space="preserve">Формула хука</t>
  </si>
  <si>
    <t xml:space="preserve">Пример заполнения</t>
  </si>
  <si>
    <t xml:space="preserve">Я протестировал [N] [категория], и только один [результат]</t>
  </si>
  <si>
    <t xml:space="preserve">Authority + Curiosity</t>
  </si>
  <si>
    <t xml:space="preserve">Я протестировал 12 AI-планировщиков, и только один реально освободил мне вечер</t>
  </si>
  <si>
    <t xml:space="preserve">[N]% людей не знают, что [инструмент] умеет [X]</t>
  </si>
  <si>
    <t xml:space="preserve">92% людей не знают, что в Notion AI есть голосовой ввод задач</t>
  </si>
  <si>
    <t xml:space="preserve">Не [действие], пока не увидишь это</t>
  </si>
  <si>
    <t xml:space="preserve">Не плати за Canva Pro, пока не увидишь это</t>
  </si>
  <si>
    <t xml:space="preserve">Если ты [идентичность] — это изменит твою неделю</t>
  </si>
  <si>
    <t xml:space="preserve">Если ты фрилансер на удалёнке — это изменит твою неделю</t>
  </si>
  <si>
    <t xml:space="preserve">POV: ты [ситуация], а потом находишь [инструмент]</t>
  </si>
  <si>
    <t xml:space="preserve">POV: дедлайн через час, а потом ты находишь это</t>
  </si>
  <si>
    <t xml:space="preserve">[N] секунд — и [результат], без [боль]</t>
  </si>
  <si>
    <t xml:space="preserve">Curiosity + Authority</t>
  </si>
  <si>
    <t xml:space="preserve">47 секунд — и готовый отчёт, без единой формулы Excel</t>
  </si>
  <si>
    <t xml:space="preserve">Это видео для тех, кто ещё [боль]</t>
  </si>
  <si>
    <t xml:space="preserve">Это видео для тех, кто ещё вручную переносит задачи из почты</t>
  </si>
  <si>
    <t xml:space="preserve">Удалил [N] приложений после того, как нашёл это</t>
  </si>
  <si>
    <t xml:space="preserve">Удалил 4 приложения после того, как нашёл это</t>
  </si>
  <si>
    <t xml:space="preserve">Сравнил [A] и [B] — разница в [метрика] шокировала</t>
  </si>
  <si>
    <t xml:space="preserve">Сравнил ChatGPT и Claude в одном письме — разница в тоне шокировала</t>
  </si>
  <si>
    <t xml:space="preserve">То, что [инсайдеры] не расскажут тебе бесплатно</t>
  </si>
  <si>
    <t xml:space="preserve">Authority</t>
  </si>
  <si>
    <t xml:space="preserve">То, что AI-агентства не расскажут тебе бесплатно</t>
  </si>
  <si>
    <t xml:space="preserve">Я [боль], пока не сделал одно действие</t>
  </si>
  <si>
    <t xml:space="preserve">Я терял 2 часа в день на отчёты, пока не сделал одно действие</t>
  </si>
  <si>
    <t xml:space="preserve">Сохрани это — пригодится [событие]</t>
  </si>
  <si>
    <t xml:space="preserve">Сохрани это — пригодится в понедельник утром</t>
  </si>
  <si>
    <t xml:space="preserve">[Инструмент] только что выпустил [фичу], и это меняет всё</t>
  </si>
  <si>
    <t xml:space="preserve">ChatGPT только что выпустил функцию, и это меняет всё</t>
  </si>
  <si>
    <t xml:space="preserve">Перешли тому, кто до сих пор [боль]</t>
  </si>
  <si>
    <t xml:space="preserve">Перешли тому, кто до сих пор печатает письма с нуля</t>
  </si>
  <si>
    <t xml:space="preserve">Рубрика «[название]» #[N] — сегодня тестируем [тема]</t>
  </si>
  <si>
    <t xml:space="preserve">Рубрика «AI за 60 секунд» #18 — сегодня тестируем Gamma</t>
  </si>
  <si>
    <t xml:space="preserve">  ФОРМУЛЫ СЦЕНАРИЕВ ПО ТИПУ КОНТЕНТА</t>
  </si>
  <si>
    <t xml:space="preserve">Тип</t>
  </si>
  <si>
    <t xml:space="preserve">Hook</t>
  </si>
  <si>
    <t xml:space="preserve">Problem → Story</t>
  </si>
  <si>
    <t xml:space="preserve">Resolution</t>
  </si>
  <si>
    <t xml:space="preserve">Туториал</t>
  </si>
  <si>
    <t xml:space="preserve">«[N] секунд — и [результат]»</t>
  </si>
  <si>
    <t xml:space="preserve">Зритель не знает шага → показываем экран в реальном времени, без монтажных склеек на ключевом действии</t>
  </si>
  <si>
    <t xml:space="preserve">Финальный результат на экране + 1 фраза «вот и всё»</t>
  </si>
  <si>
    <t xml:space="preserve">Сравнение</t>
  </si>
  <si>
    <t xml:space="preserve">«[A] vs [B] — разница в [метрика]»</t>
  </si>
  <si>
    <t xml:space="preserve">Одна и та же задача даётся обоим инструментам параллельно</t>
  </si>
  <si>
    <t xml:space="preserve">Чёткий победитель по 1 измеримому критерию, не по «вкусу»</t>
  </si>
  <si>
    <t xml:space="preserve">Новость</t>
  </si>
  <si>
    <t xml:space="preserve">«[Инструмент] только что [событие]»</t>
  </si>
  <si>
    <t xml:space="preserve">Контекст за 3 секунды: что было раньше / что изменилось</t>
  </si>
  <si>
    <t xml:space="preserve">Что это значит для зрителя лично, прямо сейчас</t>
  </si>
  <si>
    <t xml:space="preserve">Шоукейс</t>
  </si>
  <si>
    <t xml:space="preserve">«Посмотри, что умеет [инструмент]»</t>
  </si>
  <si>
    <t xml:space="preserve">Нарастание: от простого результата к неожиданному</t>
  </si>
  <si>
    <t xml:space="preserve">Самый сильный результат — последним кадром, без слов</t>
  </si>
  <si>
    <t xml:space="preserve">История/признание</t>
  </si>
  <si>
    <t xml:space="preserve">«Я [боль], пока не [действие]»</t>
  </si>
  <si>
    <t xml:space="preserve">Конкретная ситуация с провалом → момент находки инструмента</t>
  </si>
  <si>
    <t xml:space="preserve">Измеримый итог + что изменилось в привычке</t>
  </si>
  <si>
    <t xml:space="preserve">  КОНТЕНТ-ПИЛЛАРЫ И РАСПРЕДЕЛЕНИЕ (на 1 аккаунт · 7 видео/день)</t>
  </si>
  <si>
    <t xml:space="preserve">Тип контента</t>
  </si>
  <si>
    <t xml:space="preserve">Доля</t>
  </si>
  <si>
    <t xml:space="preserve">Вирал-потенциал</t>
  </si>
  <si>
    <t xml:space="preserve">Туториал / How-To</t>
  </si>
  <si>
    <t xml:space="preserve">Authority + Curiosity Trap</t>
  </si>
  <si>
    <t xml:space="preserve">Высокий</t>
  </si>
  <si>
    <t xml:space="preserve">AI-новости</t>
  </si>
  <si>
    <t xml:space="preserve">Curiosity Trap + Mere Exposure</t>
  </si>
  <si>
    <t xml:space="preserve">Очень высокий</t>
  </si>
  <si>
    <t xml:space="preserve">Сравнения</t>
  </si>
  <si>
    <t xml:space="preserve">Шоукейс / Wow-контент</t>
  </si>
  <si>
    <t xml:space="preserve">Authority + Storytelling</t>
  </si>
  <si>
    <t xml:space="preserve">Продуктивность / лайфхаки</t>
  </si>
  <si>
    <t xml:space="preserve">Юмор / AI-фейлы</t>
  </si>
  <si>
    <t xml:space="preserve">Максимальный</t>
  </si>
  <si>
    <t xml:space="preserve">Нативный промо</t>
  </si>
  <si>
    <t xml:space="preserve">Средний</t>
  </si>
  <si>
    <t xml:space="preserve">LAYER 4 · EXECUTION</t>
  </si>
  <si>
    <t xml:space="preserve">⚙️  ПРОИЗВОДСТВЕННЫЙ ПАЙПЛАЙН — END TO END</t>
  </si>
  <si>
    <t xml:space="preserve">Путь одного сценария от идеи до публикации на 100 видео/день.</t>
  </si>
  <si>
    <t xml:space="preserve">  8 ШАГОВ ПРОИЗВОДСТВА</t>
  </si>
  <si>
    <t xml:space="preserve">Этап</t>
  </si>
  <si>
    <t xml:space="preserve">AI-инструменты</t>
  </si>
  <si>
    <t xml:space="preserve">Ответственный</t>
  </si>
  <si>
    <t xml:space="preserve">Мин/видео</t>
  </si>
  <si>
    <t xml:space="preserve">Часов/день</t>
  </si>
  <si>
    <t xml:space="preserve">Автоматизация</t>
  </si>
  <si>
    <t xml:space="preserve">Результат</t>
  </si>
  <si>
    <t xml:space="preserve">Тренд-ресёрч</t>
  </si>
  <si>
    <t xml:space="preserve">Google Trends, TrendTok, Creative Center</t>
  </si>
  <si>
    <t xml:space="preserve">Тренд-ресёрчер</t>
  </si>
  <si>
    <t xml:space="preserve">1,2</t>
  </si>
  <si>
    <t xml:space="preserve">4</t>
  </si>
  <si>
    <t xml:space="preserve">Частичная</t>
  </si>
  <si>
    <t xml:space="preserve">100 утверждённых тем дня</t>
  </si>
  <si>
    <t xml:space="preserve">Генерация скрипта</t>
  </si>
  <si>
    <t xml:space="preserve">Claude / GPT-4o + шаблоны промптов</t>
  </si>
  <si>
    <t xml:space="preserve">Prompt-инженер</t>
  </si>
  <si>
    <t xml:space="preserve">3</t>
  </si>
  <si>
    <t xml:space="preserve">5 (batch)</t>
  </si>
  <si>
    <t xml:space="preserve">Высокая</t>
  </si>
  <si>
    <t xml:space="preserve">100 скриптов 30–60 сек</t>
  </si>
  <si>
    <t xml:space="preserve">Хук + обложка</t>
  </si>
  <si>
    <t xml:space="preserve">GPT-4o + база A/B хуков</t>
  </si>
  <si>
    <t xml:space="preserve">Контент-стратег</t>
  </si>
  <si>
    <t xml:space="preserve">1,5</t>
  </si>
  <si>
    <t xml:space="preserve">2,5</t>
  </si>
  <si>
    <t xml:space="preserve">100 хуков + темы обложек</t>
  </si>
  <si>
    <t xml:space="preserve">Войсовер</t>
  </si>
  <si>
    <t xml:space="preserve">ElevenLabs (batch API)</t>
  </si>
  <si>
    <t xml:space="preserve">Авто</t>
  </si>
  <si>
    <t xml:space="preserve">2</t>
  </si>
  <si>
    <t xml:space="preserve">авто</t>
  </si>
  <si>
    <t xml:space="preserve">Полная</t>
  </si>
  <si>
    <t xml:space="preserve">100 аудиодорожек</t>
  </si>
  <si>
    <t xml:space="preserve">Видеопродакшн</t>
  </si>
  <si>
    <t xml:space="preserve">CapCut auto-cut + HeyGen/Runway</t>
  </si>
  <si>
    <t xml:space="preserve">Видеоредактор</t>
  </si>
  <si>
    <t xml:space="preserve">8</t>
  </si>
  <si>
    <t xml:space="preserve">13</t>
  </si>
  <si>
    <t xml:space="preserve">Средняя</t>
  </si>
  <si>
    <t xml:space="preserve">100 черновых видео</t>
  </si>
  <si>
    <t xml:space="preserve">Субтитры + оформление</t>
  </si>
  <si>
    <t xml:space="preserve">CapCut auto-subs + Canva-шаблоны</t>
  </si>
  <si>
    <t xml:space="preserve">3,5</t>
  </si>
  <si>
    <t xml:space="preserve">100 готовых Reels</t>
  </si>
  <si>
    <t xml:space="preserve">QC-проверка</t>
  </si>
  <si>
    <t xml:space="preserve">Ручной spot-check 20%</t>
  </si>
  <si>
    <t xml:space="preserve">Контент-директор + стратег</t>
  </si>
  <si>
    <t xml:space="preserve">0,5</t>
  </si>
  <si>
    <t xml:space="preserve">1</t>
  </si>
  <si>
    <t xml:space="preserve">Ручная</t>
  </si>
  <si>
    <t xml:space="preserve">&lt;10% уходит на переделку</t>
  </si>
  <si>
    <t xml:space="preserve">Публикация</t>
  </si>
  <si>
    <t xml:space="preserve">Later / Buffer / Meta Business Suite</t>
  </si>
  <si>
    <t xml:space="preserve">Менеджер аккаунтов</t>
  </si>
  <si>
    <t xml:space="preserve">100 запланированных постов</t>
  </si>
  <si>
    <t xml:space="preserve">ИТОГО НА 100 ВИДЕО/ДЕНЬ</t>
  </si>
  <si>
    <t xml:space="preserve">≈19 мин/видео</t>
  </si>
  <si>
    <t xml:space="preserve">≈30 ч / 14 чел</t>
  </si>
  <si>
    <t xml:space="preserve">При полной автоматизации войсовера и субтитров</t>
  </si>
  <si>
    <t xml:space="preserve">👥  КОМАНДА И РОЛИ</t>
  </si>
  <si>
    <t xml:space="preserve">Минимальный состав, необходимый для устойчивых 100 видео/день.</t>
  </si>
  <si>
    <t xml:space="preserve">  СОСТАВ КОМАНДЫ</t>
  </si>
  <si>
    <t xml:space="preserve">Роль</t>
  </si>
  <si>
    <t xml:space="preserve">Кол-во</t>
  </si>
  <si>
    <t xml:space="preserve">Зона ответственности</t>
  </si>
  <si>
    <t xml:space="preserve">Инструменты</t>
  </si>
  <si>
    <t xml:space="preserve">Ставка/мес ($)</t>
  </si>
  <si>
    <t xml:space="preserve">Итого/мес ($)</t>
  </si>
  <si>
    <t xml:space="preserve">Контент-директор</t>
  </si>
  <si>
    <t xml:space="preserve">Стратегия, editorial plan, утверждение форматов, QC-шлюз</t>
  </si>
  <si>
    <t xml:space="preserve">Notion, Metricool</t>
  </si>
  <si>
    <t xml:space="preserve">Промпты для скриптов/голоса/видео, шаблоны автоматизации</t>
  </si>
  <si>
    <t xml:space="preserve">Claude, GPT-4o, ElevenLabs</t>
  </si>
  <si>
    <t xml:space="preserve">Монтаж, субтитры, обложки — 25 видео/день на человека</t>
  </si>
  <si>
    <t xml:space="preserve">CapCut Pro, Canva</t>
  </si>
  <si>
    <t xml:space="preserve">Контент-план, рубрики, A/B хуков, промо-слот</t>
  </si>
  <si>
    <t xml:space="preserve">Notion, Miro, Sheets</t>
  </si>
  <si>
    <t xml:space="preserve">Мониторинг тем, конкуренты, ключевые слова</t>
  </si>
  <si>
    <t xml:space="preserve">GPT-4o, Google Trends</t>
  </si>
  <si>
    <t xml:space="preserve">Публикация, расписание, ответы на комментарии</t>
  </si>
  <si>
    <t xml:space="preserve">Later, Buffer</t>
  </si>
  <si>
    <t xml:space="preserve">Аналитик</t>
  </si>
  <si>
    <t xml:space="preserve">Отчётность, kill/scale-решения, оптимизация воронки</t>
  </si>
  <si>
    <t xml:space="preserve">Metricool, GA4</t>
  </si>
  <si>
    <t xml:space="preserve">ИТОГО КОМАНДА / МЕСЯЦ</t>
  </si>
  <si>
    <t xml:space="preserve">  ПРИМЕЧАНИЯ</t>
  </si>
  <si>
    <t xml:space="preserve">•  Ставки ориентированы на удалённых специалистов СНГ/Азии, не США/Европа.</t>
  </si>
  <si>
    <t xml:space="preserve">•  Prompt-инженер и тренд-ресёрчер могут совмещаться на фазе 0–1 (до 60 видео/день).</t>
  </si>
  <si>
    <t xml:space="preserve">•  Фаза 0–1 (тест): команда из 7 человек; полный найм — к фазе 2 (см. 01 Strategy).</t>
  </si>
  <si>
    <t xml:space="preserve">•  Видеомонтаж частично выносится на аутсорс (Fiverr/Toptal) для снижения фикс-затрат.</t>
  </si>
  <si>
    <t xml:space="preserve">🛠️  AI-СТЕК И АВТОМАТИЗАЦИЯ</t>
  </si>
  <si>
    <t xml:space="preserve">Технологический слой, который позволяет 14 людям производить 100 видео/день.</t>
  </si>
  <si>
    <t xml:space="preserve">  ИНСТРУМЕНТЫ ПО КАТЕГОРИЯМ</t>
  </si>
  <si>
    <t xml:space="preserve">Категория</t>
  </si>
  <si>
    <t xml:space="preserve">Инструмент</t>
  </si>
  <si>
    <t xml:space="preserve">Цена/мес ($)</t>
  </si>
  <si>
    <t xml:space="preserve">Примечание</t>
  </si>
  <si>
    <t xml:space="preserve">Скрипты &amp; идеи</t>
  </si>
  <si>
    <t xml:space="preserve">ChatGPT Plus × 5</t>
  </si>
  <si>
    <t xml:space="preserve">Генерация скриптов, тренд-ресёрч, хуки</t>
  </si>
  <si>
    <t xml:space="preserve">Batch-промпты</t>
  </si>
  <si>
    <t xml:space="preserve">Claude Pro × 3</t>
  </si>
  <si>
    <t xml:space="preserve">Длинные скрипты, анализ конкурентов</t>
  </si>
  <si>
    <t xml:space="preserve">Лучше для связных текстов</t>
  </si>
  <si>
    <t xml:space="preserve">Голос</t>
  </si>
  <si>
    <t xml:space="preserve">ElevenLabs Creator</t>
  </si>
  <si>
    <t xml:space="preserve">AI-войсовер, до 100 треков/день</t>
  </si>
  <si>
    <t xml:space="preserve">Резерв: Business при нехватке лимита</t>
  </si>
  <si>
    <t xml:space="preserve">Видео</t>
  </si>
  <si>
    <t xml:space="preserve">CapCut Pro × 10</t>
  </si>
  <si>
    <t xml:space="preserve">Монтаж, авто-субтитры, шаблоны</t>
  </si>
  <si>
    <t xml:space="preserve">Ключевой инструмент пайплайна</t>
  </si>
  <si>
    <t xml:space="preserve">HeyGen Business</t>
  </si>
  <si>
    <t xml:space="preserve">AI-аватар, лицо ведущего</t>
  </si>
  <si>
    <t xml:space="preserve">Альтернатива: Synthesia</t>
  </si>
  <si>
    <t xml:space="preserve">Runway Gen-3 Standard</t>
  </si>
  <si>
    <t xml:space="preserve">AI B-roll, визуальные эффекты</t>
  </si>
  <si>
    <t xml:space="preserve">Альтернатива: Pika Labs</t>
  </si>
  <si>
    <t xml:space="preserve">Дизайн</t>
  </si>
  <si>
    <t xml:space="preserve">Canva Pro × 5</t>
  </si>
  <si>
    <t xml:space="preserve">Обложки, оверлеи, брендинг</t>
  </si>
  <si>
    <t xml:space="preserve">Шаблоны на все 15 аккаунтов</t>
  </si>
  <si>
    <t xml:space="preserve">Midjourney Pro × 3</t>
  </si>
  <si>
    <t xml:space="preserve">AI-изображения для превью</t>
  </si>
  <si>
    <t xml:space="preserve">Fast hours для batch-режима</t>
  </si>
  <si>
    <t xml:space="preserve">Later Growth</t>
  </si>
  <si>
    <t xml:space="preserve">Расписание постов, 5 аккаунтов</t>
  </si>
  <si>
    <t xml:space="preserve">—</t>
  </si>
  <si>
    <t xml:space="preserve">Buffer Essentials</t>
  </si>
  <si>
    <t xml:space="preserve">Доп. 10 аккаунтов, аналитика</t>
  </si>
  <si>
    <t xml:space="preserve">10 каналов</t>
  </si>
  <si>
    <t xml:space="preserve">Аналитика</t>
  </si>
  <si>
    <t xml:space="preserve">Metricool Business</t>
  </si>
  <si>
    <t xml:space="preserve">Единый дашборд на 15 аккаунтов</t>
  </si>
  <si>
    <t xml:space="preserve">Ключевой инструмент 08 KPI Dashboard</t>
  </si>
  <si>
    <t xml:space="preserve">Social Blade Pro</t>
  </si>
  <si>
    <t xml:space="preserve">Мониторинг роста аккаунтов</t>
  </si>
  <si>
    <t xml:space="preserve">Конкурентная разведка</t>
  </si>
  <si>
    <t xml:space="preserve">Инфраструктура</t>
  </si>
  <si>
    <t xml:space="preserve">VPN/прокси × 15</t>
  </si>
  <si>
    <t xml:space="preserve">Безопасность мультиаккаунтинга</t>
  </si>
  <si>
    <t xml:space="preserve">BrightData / Smartproxy</t>
  </si>
  <si>
    <t xml:space="preserve">Google Workspace</t>
  </si>
  <si>
    <t xml:space="preserve">Хранение асетов, 2TB</t>
  </si>
  <si>
    <t xml:space="preserve">Командная работа</t>
  </si>
  <si>
    <t xml:space="preserve">Notion Team</t>
  </si>
  <si>
    <t xml:space="preserve">Контент-календарь, база знаний</t>
  </si>
  <si>
    <t xml:space="preserve">CRM для контента</t>
  </si>
  <si>
    <t xml:space="preserve">ИТОГО AI-ИНСТРУМЕНТЫ / МЕСЯЦ</t>
  </si>
  <si>
    <t xml:space="preserve">Без платного трафика</t>
  </si>
  <si>
    <t xml:space="preserve">  ОБЩИЙ БЮДЖЕТ ИСПОЛНЕНИЯ (cross-sheet)</t>
  </si>
  <si>
    <t xml:space="preserve">Команда (см. 06 Team)</t>
  </si>
  <si>
    <t xml:space="preserve">AI-инструменты (выше)</t>
  </si>
  <si>
    <t xml:space="preserve">ИТОГО ЗАПУСК ИСПОЛНЕНИЯ / МЕСЯЦ</t>
  </si>
  <si>
    <t xml:space="preserve">LAYER 5 · KPI &amp; ANALYTICS</t>
  </si>
  <si>
    <t xml:space="preserve">📈  ДАШБОРД — ПРОСМОТРЫ · ENGAGEMENT · РОСТ · УДЕРЖАНИЕ · КОНВЕРСИИ</t>
  </si>
  <si>
    <t xml:space="preserve">Если метрика не в этом списке — она не двигает решения kill/scale (см. 01 Strategy, принцип 3).</t>
  </si>
  <si>
    <t xml:space="preserve">  МЕТРИКИ И ЦЕЛИ ПО МЕСЯЦАМ</t>
  </si>
  <si>
    <t xml:space="preserve">Метрика</t>
  </si>
  <si>
    <t xml:space="preserve">Мес. 1</t>
  </si>
  <si>
    <t xml:space="preserve">Мес. 3</t>
  </si>
  <si>
    <t xml:space="preserve">Мес. 6 (цель)</t>
  </si>
  <si>
    <t xml:space="preserve">Как считается / инструмент</t>
  </si>
  <si>
    <t xml:space="preserve">Частота</t>
  </si>
  <si>
    <t xml:space="preserve">  1 · ПРОСМОТРЫ</t>
  </si>
  <si>
    <t xml:space="preserve">Просмотры/месяц, все аккаунты</t>
  </si>
  <si>
    <t xml:space="preserve">5 000 000</t>
  </si>
  <si>
    <t xml:space="preserve">40 000 000</t>
  </si>
  <si>
    <t xml:space="preserve">100 000 000</t>
  </si>
  <si>
    <t xml:space="preserve">Сумма Reels-просмотров · Metricool / Insights</t>
  </si>
  <si>
    <t xml:space="preserve">Еженедельно</t>
  </si>
  <si>
    <t xml:space="preserve">Среднее просмотров на видео</t>
  </si>
  <si>
    <t xml:space="preserve">1 667</t>
  </si>
  <si>
    <t xml:space="preserve">13 333</t>
  </si>
  <si>
    <t xml:space="preserve">33 333</t>
  </si>
  <si>
    <t xml:space="preserve">Views ÷ опубликованные видео за период</t>
  </si>
  <si>
    <t xml:space="preserve">Доля видео с виральным охватом (&gt;10× подписчиков)</t>
  </si>
  <si>
    <t xml:space="preserve">1–2%</t>
  </si>
  <si>
    <t xml:space="preserve">5–8%</t>
  </si>
  <si>
    <t xml:space="preserve">10%+</t>
  </si>
  <si>
    <t xml:space="preserve">Ручной мониторинг по 09 Content Bank</t>
  </si>
  <si>
    <t xml:space="preserve">  2 · ENGAGEMENT RATE</t>
  </si>
  <si>
    <t xml:space="preserve">Engagement Rate, средний</t>
  </si>
  <si>
    <t xml:space="preserve">3,0%</t>
  </si>
  <si>
    <t xml:space="preserve">4,0%</t>
  </si>
  <si>
    <t xml:space="preserve">5,0%</t>
  </si>
  <si>
    <t xml:space="preserve">(Лайки+Комм.+Сейвы+Шеры) ÷ Просмотры</t>
  </si>
  <si>
    <t xml:space="preserve">Sends per reach (репосты в директ)</t>
  </si>
  <si>
    <t xml:space="preserve">0,3%</t>
  </si>
  <si>
    <t xml:space="preserve">0,6%</t>
  </si>
  <si>
    <t xml:space="preserve">1,0%+</t>
  </si>
  <si>
    <t xml:space="preserve">Метрика Instagram Insights «Sends»</t>
  </si>
  <si>
    <t xml:space="preserve">Saves per reach (сохранения)</t>
  </si>
  <si>
    <t xml:space="preserve">0,5%</t>
  </si>
  <si>
    <t xml:space="preserve">1,0%</t>
  </si>
  <si>
    <t xml:space="preserve">1,5%+</t>
  </si>
  <si>
    <t xml:space="preserve">Метрика Instagram Insights «Saves»</t>
  </si>
  <si>
    <t xml:space="preserve">Глубина комментариев (% тредов &gt;1 ответа)</t>
  </si>
  <si>
    <t xml:space="preserve">10%</t>
  </si>
  <si>
    <t xml:space="preserve">20%</t>
  </si>
  <si>
    <t xml:space="preserve">30%</t>
  </si>
  <si>
    <t xml:space="preserve">Ручная выборка топ-20 видео/нед.</t>
  </si>
  <si>
    <t xml:space="preserve">  3 · РОСТ АККАУНТОВ</t>
  </si>
  <si>
    <t xml:space="preserve">Суммарные подписчики, все аккаунты</t>
  </si>
  <si>
    <t xml:space="preserve">10 000</t>
  </si>
  <si>
    <t xml:space="preserve">600 000</t>
  </si>
  <si>
    <t xml:space="preserve">4 650 000</t>
  </si>
  <si>
    <t xml:space="preserve">Social Blade / Insights, сумма по 02 Accounts</t>
  </si>
  <si>
    <t xml:space="preserve">Средний прирост подписчиков/аккаунт/мес</t>
  </si>
  <si>
    <t xml:space="preserve">30 000</t>
  </si>
  <si>
    <t xml:space="preserve">50 000</t>
  </si>
  <si>
    <t xml:space="preserve">Δ подписчиков за период ÷ кол-во аккаунтов</t>
  </si>
  <si>
    <t xml:space="preserve">Non-follower reach % (охват от не-подписчиков)</t>
  </si>
  <si>
    <t xml:space="preserve">40%</t>
  </si>
  <si>
    <t xml:space="preserve">55%</t>
  </si>
  <si>
    <t xml:space="preserve">65%+</t>
  </si>
  <si>
    <t xml:space="preserve">Instagram Insights — канареечная метрика алгоритма</t>
  </si>
  <si>
    <t xml:space="preserve">Ежедневно</t>
  </si>
  <si>
    <t xml:space="preserve">  4 · УДЕРЖАНИЕ (RETENTION)</t>
  </si>
  <si>
    <t xml:space="preserve">Среднее время просмотра, % от длины</t>
  </si>
  <si>
    <t xml:space="preserve">35%</t>
  </si>
  <si>
    <t xml:space="preserve">50%</t>
  </si>
  <si>
    <t xml:space="preserve">60%+</t>
  </si>
  <si>
    <t xml:space="preserve">Instagram Insights «Average watch time» ÷ длина ролика</t>
  </si>
  <si>
    <t xml:space="preserve">Completion rate (досмотры до конца)</t>
  </si>
  <si>
    <t xml:space="preserve">45%+</t>
  </si>
  <si>
    <t xml:space="preserve">Instagram Insights «Plays at 100%»</t>
  </si>
  <si>
    <t xml:space="preserve">Replay rate (повторные просмотры)</t>
  </si>
  <si>
    <t xml:space="preserve">5%</t>
  </si>
  <si>
    <t xml:space="preserve">15%+</t>
  </si>
  <si>
    <t xml:space="preserve">Instagram Insights «Replays» ÷ Reach</t>
  </si>
  <si>
    <t xml:space="preserve">3-секундный drop-off</t>
  </si>
  <si>
    <t xml:space="preserve">&lt;30%</t>
  </si>
  <si>
    <t xml:space="preserve">Доля ушедших до 3-й секунды — диагностика хука</t>
  </si>
  <si>
    <t xml:space="preserve">  5 · КОНВЕРСИИ</t>
  </si>
  <si>
    <t xml:space="preserve">Переходы в профиль → подписка, %</t>
  </si>
  <si>
    <t xml:space="preserve">8%</t>
  </si>
  <si>
    <t xml:space="preserve">12%</t>
  </si>
  <si>
    <t xml:space="preserve">15%</t>
  </si>
  <si>
    <t xml:space="preserve">Profile visits → Follows, Instagram Insights</t>
  </si>
  <si>
    <t xml:space="preserve">Переходы на сайт/лендинг/мес</t>
  </si>
  <si>
    <t xml:space="preserve">500</t>
  </si>
  <si>
    <t xml:space="preserve">UTM-метки + Google Analytics</t>
  </si>
  <si>
    <t xml:space="preserve">Лиды (заявки)/месяц</t>
  </si>
  <si>
    <t xml:space="preserve">50</t>
  </si>
  <si>
    <t xml:space="preserve">700</t>
  </si>
  <si>
    <t xml:space="preserve">3 000</t>
  </si>
  <si>
    <t xml:space="preserve">CRM продукта</t>
  </si>
  <si>
    <t xml:space="preserve">Ежемесячно</t>
  </si>
  <si>
    <t xml:space="preserve">CPL — стоимость лида</t>
  </si>
  <si>
    <t xml:space="preserve">$400</t>
  </si>
  <si>
    <t xml:space="preserve">$28</t>
  </si>
  <si>
    <t xml:space="preserve">$7</t>
  </si>
  <si>
    <t xml:space="preserve">Бюджет исполнения ÷ лиды (см. 07 AI Stack)</t>
  </si>
  <si>
    <t xml:space="preserve">LAYER 3 · CONTENT ENGINE — DELIVERABLE</t>
  </si>
  <si>
    <t xml:space="preserve">📚  SHORT-FORM CONTENT BANK — 100 СЦЕНАРИЕВ</t>
  </si>
  <si>
    <t xml:space="preserve">Ниша: AI / продуктивность / цифровые инструменты. Каждый сценарий закодирован одним из 6 принципов из 03 Psychology — это не случайные идеи, а выход модели.</t>
  </si>
  <si>
    <t xml:space="preserve">Легенда принципов:  ■ Mere Exposure  ■ Curiosity Trap  ■ Identity Selling  ■ Authority  ■ Social Sharing  ■ Storytelling</t>
  </si>
  <si>
    <t xml:space="preserve">  100 СЦЕНАРИЕВ</t>
  </si>
  <si>
    <t xml:space="preserve">Hook (0–2 сек)</t>
  </si>
  <si>
    <t xml:space="preserve">Структура H→P→S→R</t>
  </si>
  <si>
    <t xml:space="preserve">Почему завирусится</t>
  </si>
  <si>
    <t xml:space="preserve">Ожидаемое поведение зрителя</t>
  </si>
  <si>
    <t xml:space="preserve">Рубрика «AI за 60 секунд», выпуск #24 — сегодня разбираем Gemini</t>
  </si>
  <si>
    <t xml:space="preserve">Та же заставка/музыка/ведущий, что и в прошлых 23 выпусках → 1 новость → итог одной фразой</t>
  </si>
  <si>
    <t xml:space="preserve">Не вирусится сама по себе, но удерживает постоянную аудиторию, которая досматривает на автомате узнавания</t>
  </si>
  <si>
    <t xml:space="preserve">Высокий repeat-view, комментарии-предсказания «сегодня точно про OpenAI»</t>
  </si>
  <si>
    <t xml:space="preserve">Понедельничный AI-лайфхак: сегодня — Notion AI</t>
  </si>
  <si>
    <t xml:space="preserve">Фирменный текстовый баннер «понедельничный лайфхак» открывает каждый ролик серии → 1 приём за 20 сек → призыв сохранить</t>
  </si>
  <si>
    <t xml:space="preserve">Снижает % отписок за счёт предсказуемого ритма публикаций</t>
  </si>
  <si>
    <t xml:space="preserve">Стабильные сейвы по понедельникам, рост узнаваемости профиля в ленте</t>
  </si>
  <si>
    <t xml:space="preserve">Битва инструментов, раунд 9: Claude vs ChatGPT</t>
  </si>
  <si>
    <t xml:space="preserve">Узнаваемый «счётный» оверлей раунда → задача → результат → счёт обновляется в кадре</t>
  </si>
  <si>
    <t xml:space="preserve">Серийный формат вызывает ожидание следующего раунда, комментарии-ставки</t>
  </si>
  <si>
    <t xml:space="preserve">Комментарии-прогнозы, возврат зрителей к следующему эпизоду</t>
  </si>
  <si>
    <t xml:space="preserve">Пятничный AI-арт: Midjourney рисует то, что попросили в комментариях</t>
  </si>
  <si>
    <t xml:space="preserve">Тот же интро-джингл «пятничный AI-арт» → промпт из комментариев → результат крупным планом</t>
  </si>
  <si>
    <t xml:space="preserve">Зрители возвращаются ради своей идеи в следующем выпуске</t>
  </si>
  <si>
    <t xml:space="preserve">Высокая вовлечённость в комментарии-заявки, стабильный охват по подписчикам</t>
  </si>
  <si>
    <t xml:space="preserve">Продуктивность</t>
  </si>
  <si>
    <t xml:space="preserve">Чек-лист понедельника: 3 AI-инструмента на неделю</t>
  </si>
  <si>
    <t xml:space="preserve">Фирменная палитра и шрифт чек-листа повторяются каждую неделю → 3 пункта → итоговая карточка</t>
  </si>
  <si>
    <t xml:space="preserve">Узнаваемая карточка располагает к сохранению как «еженедельный дайджест»</t>
  </si>
  <si>
    <t xml:space="preserve">Сохранения выше среднего, комментарии с собственными списками</t>
  </si>
  <si>
    <t xml:space="preserve">Голос за кадром тот же, что и всегда — у Gemini обновили память</t>
  </si>
  <si>
    <t xml:space="preserve">Постоянный голос и темп озвучки на каждом видео → факт → вывод</t>
  </si>
  <si>
    <t xml:space="preserve">Узнаваемый голос ассоциируется с надёжным источником, а не разовой сенсацией</t>
  </si>
  <si>
    <t xml:space="preserve">Снижение оттока подписчиков, стабильный CTR в Stories</t>
  </si>
  <si>
    <t xml:space="preserve">Серия «1 минута — 1 функция»: сегодня Gamma</t>
  </si>
  <si>
    <t xml:space="preserve">Единый формат таймера 60 секунд в углу экрана на каждом видео серии → демонстрация → таймер на нуле</t>
  </si>
  <si>
    <t xml:space="preserve">Таймер создаёт лёгкий саспенс, формат держит привычкой, не открытием</t>
  </si>
  <si>
    <t xml:space="preserve">Высокая частота повторных просмотров — зрители пересматривают, чтобы успеть повторить</t>
  </si>
  <si>
    <t xml:space="preserve">Таблица недели: 5 AI-инструментов для почты</t>
  </si>
  <si>
    <t xml:space="preserve">Одна и та же сетка-таблица как визуальный шаблон рубрики → заполнение по ходу видео → финальная сводная таблица</t>
  </si>
  <si>
    <t xml:space="preserve">Таблица шерится как референс, узнаваемость формата облегчает решение «смотреть/нет»</t>
  </si>
  <si>
    <t xml:space="preserve">Высокие сейвы, репосты как «шпаргалка»</t>
  </si>
  <si>
    <t xml:space="preserve">Юмор</t>
  </si>
  <si>
    <t xml:space="preserve">Рубрика «AI облажался» #11</t>
  </si>
  <si>
    <t xml:space="preserve">Узнаваемый звуковой сигнал ошибки в начале каждого выпуска → провал AI → реакция в кадре</t>
  </si>
  <si>
    <t xml:space="preserve">Узнаваемый звук создаёт условный рефлекс «сейчас будет смешно»</t>
  </si>
  <si>
    <t xml:space="preserve">Высокий watch-through благодаря привычному ритму юмора</t>
  </si>
  <si>
    <t xml:space="preserve">Промо</t>
  </si>
  <si>
    <t xml:space="preserve">История клиента №7: как [продукт] сэкономил время</t>
  </si>
  <si>
    <t xml:space="preserve">Тот же шаблон «До / После» с таймером экономии часов в каждом промо-видео</t>
  </si>
  <si>
    <t xml:space="preserve">Узнаваемый формат повышает доверие к новому кейсу за счёт прошлых выпусков</t>
  </si>
  <si>
    <t xml:space="preserve">Стабильная конверсия в переходы на сайт</t>
  </si>
  <si>
    <t xml:space="preserve">Кейс недели: ROI от AI в реальной компании</t>
  </si>
  <si>
    <t xml:space="preserve">Фирменная инфографика ROI в одном стиле каждую неделю → цифры → итог</t>
  </si>
  <si>
    <t xml:space="preserve">Сериальность повышает доверие B2B-аудитории к формату отчётности</t>
  </si>
  <si>
    <t xml:space="preserve">Сохранения как референс для презентаций</t>
  </si>
  <si>
    <t xml:space="preserve">Урок #32 из бесплатного AI-курса в этом профиле</t>
  </si>
  <si>
    <t xml:space="preserve">Нумерация уроков с одинаковым шаблоном слайда «Урок №» → объяснение → задание в подписи</t>
  </si>
  <si>
    <t xml:space="preserve">Эффект учебного сериала удерживает на канале, а не делится вовне</t>
  </si>
  <si>
    <t xml:space="preserve">Высокая частота возвратов, рост сохранённых сборников</t>
  </si>
  <si>
    <t xml:space="preserve">Сводка за неделю: 3 релиза, которые вы пропустили</t>
  </si>
  <si>
    <t xml:space="preserve">Один и тот же формат «3 новости подряд» с разделителями-таймкодами</t>
  </si>
  <si>
    <t xml:space="preserve">Предсказуемая структура снижает порог досмотра до конца</t>
  </si>
  <si>
    <t xml:space="preserve">Высокий completion rate за счёт привычного темпа</t>
  </si>
  <si>
    <t xml:space="preserve">Утренний ритуал с AI: серия продолжается</t>
  </si>
  <si>
    <t xml:space="preserve">Один и тот же визуальный сеттинг рабочего стола в каждом видео серии</t>
  </si>
  <si>
    <t xml:space="preserve">Узнаваемая «утренняя атмосфера» формирует привычку смотреть в одно время</t>
  </si>
  <si>
    <t xml:space="preserve">Рост просмотров в определённый час дня, паттерн постоянной аудитории</t>
  </si>
  <si>
    <t xml:space="preserve">Голосование недели: какой AI-инструмент тестируем дальше</t>
  </si>
  <si>
    <t xml:space="preserve">Фирменный опрос в Stories перед роликом → ролик по итогам со знакомой подачей</t>
  </si>
  <si>
    <t xml:space="preserve">Чувство соучастия аудитории в формате повышает лояльность и регулярный просмотр</t>
  </si>
  <si>
    <t xml:space="preserve">Высокая активность в Stories, переход в комментарии под видео</t>
  </si>
  <si>
    <t xml:space="preserve">AI-аватар снова здесь — досматривай до сюрприза</t>
  </si>
  <si>
    <t xml:space="preserve">Один и тот же HeyGen-аватар ведёт уже n-й выпуск рубрики → демонстрация → фирменный финальный жест</t>
  </si>
  <si>
    <t xml:space="preserve">Персонаж-ведущий формирует парасоциальную привязанность, типичную для серийного контента</t>
  </si>
  <si>
    <t xml:space="preserve">Стабильный рост подписки именно на личность аватара, а не на разовый ролик</t>
  </si>
  <si>
    <t xml:space="preserve">Есть настройка ChatGPT, которую не включают 99% — досмотри до конца</t>
  </si>
  <si>
    <t xml:space="preserve">Hook не называет настройку → Problem: долгие неточные ответы → Story: ищем скрытый пункт меню → Resolution: настройка раскрывается на 27-й секунде</t>
  </si>
  <si>
    <t xml:space="preserve">Прямой open loop держит до конца, что повышает вес ролика по watch time</t>
  </si>
  <si>
    <t xml:space="preserve">Очень высокий completion rate, мало ранних уходов</t>
  </si>
  <si>
    <t xml:space="preserve">Один из этих AI-инструментов тайно собирает больше данных, чем вы думаете</t>
  </si>
  <si>
    <t xml:space="preserve">Не называем какой → сравниваем интерфейсы → раскрываем разницу в политике данных в payoff</t>
  </si>
  <si>
    <t xml:space="preserve">Тревожный open loop про приватность вызывает желание узнать, какой именно</t>
  </si>
  <si>
    <t xml:space="preserve">Высокие комментарии «который из них?», споры в обсуждении</t>
  </si>
  <si>
    <t xml:space="preserve">OpenAI выпустила фичу, но включили её не всем — проверь, есть ли она у тебя</t>
  </si>
  <si>
    <t xml:space="preserve">Не раскрываем фичу сразу → контекст релиза → как проверить наличие → демонстрация</t>
  </si>
  <si>
    <t xml:space="preserve">Личная неопределённость «есть ли это у меня» удерживает каждого зрителя индивидуально</t>
  </si>
  <si>
    <t xml:space="preserve">Высокие сейвы «чтобы потом проверить», переходы в настройки сразу после просмотра</t>
  </si>
  <si>
    <t xml:space="preserve">Это не Photoshop — и не Midjourney тоже</t>
  </si>
  <si>
    <t xml:space="preserve">Показываем результат без подписи инструмента → демонстрация процесса → раскрытие имени на 25-й секунде</t>
  </si>
  <si>
    <t xml:space="preserve">Загадка «что это» провоцирует комментарии-догадки до раскрытия ответа</t>
  </si>
  <si>
    <t xml:space="preserve">Высокая комментарийная активность с вариантами ответа</t>
  </si>
  <si>
    <t xml:space="preserve">Один промпт убирает половину твоей работы в Excel — но он не для всех версий</t>
  </si>
  <si>
    <t xml:space="preserve">Условие «не для всех» создаёт разрыв → демонстрация промпта → уточнение совместимости в конце</t>
  </si>
  <si>
    <t xml:space="preserve">Условность интригует и заставляет смотреть, чтобы понять «подхожу ли я»</t>
  </si>
  <si>
    <t xml:space="preserve">Высокая досматриваемость, комментарии с вопросами о версии</t>
  </si>
  <si>
    <t xml:space="preserve">ИИ почти угадал, но в последний момент всё испортил</t>
  </si>
  <si>
    <t xml:space="preserve">Показываем процесс генерации без финального кадра → нарастающее ожидание → провал в payoff</t>
  </si>
  <si>
    <t xml:space="preserve">Комедийный саспенс вокруг «угадает или нет» держит внимание до конца</t>
  </si>
  <si>
    <t xml:space="preserve">Высокий completion, частые повторные просмотры момента провала</t>
  </si>
  <si>
    <t xml:space="preserve">Этот промпт работает только если написать его именно так</t>
  </si>
  <si>
    <t xml:space="preserve">Подчёркиваем точность формулировки как условие → ошибочный и верный вариант → точный текст в payoff</t>
  </si>
  <si>
    <t xml:space="preserve">Требование точности создаёт необходимость пересмотра и сохранения</t>
  </si>
  <si>
    <t xml:space="preserve">Высокие сейвы, повторные просмотры для копирования точного текста</t>
  </si>
  <si>
    <t xml:space="preserve">Спросили один и тот же вопрос у трёх AI — один ответ был неожиданно честным</t>
  </si>
  <si>
    <t xml:space="preserve">Не говорим какой → задаём вопрос трём моделям → раскрываем «честный» ответ в конце</t>
  </si>
  <si>
    <t xml:space="preserve">Любопытство «кто оказался честным» удерживает до payoff</t>
  </si>
  <si>
    <t xml:space="preserve">Высокие комментарии с обсуждением, кто угадал правильно</t>
  </si>
  <si>
    <t xml:space="preserve">В обновлении есть строчка, которую почти никто не заметил</t>
  </si>
  <si>
    <t xml:space="preserve">Контекст релиза → перечисление заметных фич → раскрытие незаметной строчки как главного твиста</t>
  </si>
  <si>
    <t xml:space="preserve">Эффект «скрытой детали» провоцирует пересмотр официального анонса другими зрителями</t>
  </si>
  <si>
    <t xml:space="preserve">Высокий completion rate, комментарии «а я и не заметил»</t>
  </si>
  <si>
    <t xml:space="preserve">Я попросил AI закончить мою мысль — ответ удивил даже меня</t>
  </si>
  <si>
    <t xml:space="preserve">Демонстрируем начало запроса → пауза перед ответом → реакция в кадре как часть payoff</t>
  </si>
  <si>
    <t xml:space="preserve">Личная реакция автора усиливает эффект ожидания для зрителя</t>
  </si>
  <si>
    <t xml:space="preserve">Высокая досматриваемость ради финальной реакции</t>
  </si>
  <si>
    <t xml:space="preserve">Если твой календарь выглядит так — тебе не хватает одной настройки</t>
  </si>
  <si>
    <t xml:space="preserve">Показываем хаотичный календарь → намекаем на решение → раскрываем настройку в конце</t>
  </si>
  <si>
    <t xml:space="preserve">Самоидентификация по картинке календаря держит внимание тех, кто узнал себя</t>
  </si>
  <si>
    <t xml:space="preserve">Высокие сейвы как «инструкция на потом»</t>
  </si>
  <si>
    <t xml:space="preserve">Цифра в этом кейсе вас удивит — ROI не там, где ожидаешь</t>
  </si>
  <si>
    <t xml:space="preserve">Задаём контекст кейса → нарастание цифр → неожиданный итоговый показатель</t>
  </si>
  <si>
    <t xml:space="preserve">Контринтуитивный результат заставляет досмотреть, чтобы узнать конкретное число</t>
  </si>
  <si>
    <t xml:space="preserve">Высокий completion, сохранения для презентаций</t>
  </si>
  <si>
    <t xml:space="preserve">В Notion AI есть функция, спрятанная в трёх кликах от всех остальных</t>
  </si>
  <si>
    <t xml:space="preserve">Подчёркиваем «спрятанность» → путь из трёх кликов в реальном времени → демонстрация функции</t>
  </si>
  <si>
    <t xml:space="preserve">Зрители досматривают, чтобы получить точный путь, не запоминая на слух</t>
  </si>
  <si>
    <t xml:space="preserve">Высокая досматриваемость, репост теми, кто уже использует инструмент</t>
  </si>
  <si>
    <t xml:space="preserve">Один из этих инструментов скоро станет платным — угадай, какой</t>
  </si>
  <si>
    <t xml:space="preserve">Сравниваем функциональность вслепую → намёк на смену модели монетизации → раскрытие в payoff</t>
  </si>
  <si>
    <t xml:space="preserve">Финансовая интрига «успею ли я» мотивирует досмотр и сохранение</t>
  </si>
  <si>
    <t xml:space="preserve">Высокие сейвы «чтобы успеть», комментарии с предположениями</t>
  </si>
  <si>
    <t xml:space="preserve">Это не баг — это специально скрытая функция нового релиза</t>
  </si>
  <si>
    <t xml:space="preserve">Показываем «странное» поведение интерфейса → переворот ожидания → объяснение как фичи</t>
  </si>
  <si>
    <t xml:space="preserve">Переворот ожидания «баг или фича» — классический crowd-triggering твист</t>
  </si>
  <si>
    <t xml:space="preserve">Высокий completion rate, споры в комментариях до объяснения</t>
  </si>
  <si>
    <t xml:space="preserve">Я не скажу, что попросил — угадай по результату</t>
  </si>
  <si>
    <t xml:space="preserve">Показываем только результат генерации → зрители гадают в комментариях → промпт раскрывается в конце</t>
  </si>
  <si>
    <t xml:space="preserve">Игровой формат угадывания стимулирует комментирование до раскрытия ответа</t>
  </si>
  <si>
    <t xml:space="preserve">Высокая комментарийная активность, рост охвата за счёт обсуждения</t>
  </si>
  <si>
    <t xml:space="preserve">Эта мелочь в Google Calendar экономит час в неделю, но её выключают по умолчанию</t>
  </si>
  <si>
    <t xml:space="preserve">Указываем на дефолтное состояние «выключено» как разрыв → шаги включения → итоговый эффект</t>
  </si>
  <si>
    <t xml:space="preserve">Конкретная цифра экономии плюс ощущение упущенной выгоды удерживает внимание</t>
  </si>
  <si>
    <t xml:space="preserve">Высокие сейвы, переходы в настройки сразу после просмотра</t>
  </si>
  <si>
    <t xml:space="preserve">Если ты ещё закрываешь отчёты вручную — это видео для тебя</t>
  </si>
  <si>
    <t xml:space="preserve">Обозначаем «отстающую» идентичность → демонстрация AI-решения → новый статус «продвинутого» в payoff</t>
  </si>
  <si>
    <t xml:space="preserve">Зритель делится, чтобы дистанцироваться от «отстающей» идентичности и показать новый статус</t>
  </si>
  <si>
    <t xml:space="preserve">Высокие репосты коллегам с подписью «нам это нужно»</t>
  </si>
  <si>
    <t xml:space="preserve">AI-пользователи топ-1% никогда не пишут промпт вот так</t>
  </si>
  <si>
    <t xml:space="preserve">Контраст «обычный» vs «продвинутый» промпт → разница в результате → приглашение войти в группу «1%»</t>
  </si>
  <si>
    <t xml:space="preserve">Аспирационная идентичность мотивирует сохранять и подражать «инсайдерам»</t>
  </si>
  <si>
    <t xml:space="preserve">Высокие сейвы, попытки повторить «продвинутый» промпт в комментариях</t>
  </si>
  <si>
    <t xml:space="preserve">Это для тех, кто называет себя организованным, но живёт в хаосе вкладок</t>
  </si>
  <si>
    <t xml:space="preserve">Узнаваемая самоирония → демонстрация AI-инструмента наведения порядка → финальный «чистый» экран</t>
  </si>
  <si>
    <t xml:space="preserve">Самоидентификация с лёгкой самоиронией провоцирует тег друзей «это про нас»</t>
  </si>
  <si>
    <t xml:space="preserve">Высокие отметки друзей в комментариях</t>
  </si>
  <si>
    <t xml:space="preserve">Менеджеры, которые ещё не используют AI в отчётах, скоро будут не нужны</t>
  </si>
  <si>
    <t xml:space="preserve">Тревожная идентичность «устаревающего специалиста» → конкретное решение → идентичность «незаменимого»</t>
  </si>
  <si>
    <t xml:space="preserve">Страх профессионального устаревания — сильный мотиватор пересылки коллегам</t>
  </si>
  <si>
    <t xml:space="preserve">Высокие репосты внутри рабочих чатов, сохранения «к разговору с командой»</t>
  </si>
  <si>
    <t xml:space="preserve">POV: ты всё ещё гуглишь, пока коллега уже спросил у AI</t>
  </si>
  <si>
    <t xml:space="preserve">Комедийный контраст двух идентичностей в одном офисе → демонстрация скорости AI-метода → ирония в payoff</t>
  </si>
  <si>
    <t xml:space="preserve">Узнаваемая офисная ситуация провоцирует тег конкретного коллеги</t>
  </si>
  <si>
    <t xml:space="preserve">Высокая активность тегов в комментариях, шеры в рабочие чаты</t>
  </si>
  <si>
    <t xml:space="preserve">Фрилансеры, которые ценят своё время, делают именно так</t>
  </si>
  <si>
    <t xml:space="preserve">Аспирационная идентичность «ценящего время» → конкретный AI-приём → результат в часах</t>
  </si>
  <si>
    <t xml:space="preserve">Зритель шерит, чтобы подтвердить принадлежность к группе «ценящих время»</t>
  </si>
  <si>
    <t xml:space="preserve">Высокие сохранения, репосты во фриланс-сообщества</t>
  </si>
  <si>
    <t xml:space="preserve">Если ты студент и ещё не настроил это — ты усложняешь себе жизнь зря</t>
  </si>
  <si>
    <t xml:space="preserve">Идентичность «студента, который усложняет себе жизнь» → пошаговая настройка → облегчённый процесс в финале</t>
  </si>
  <si>
    <t xml:space="preserve">Студенческая аудитория активно делится лайфхаками внутри учебных групп</t>
  </si>
  <si>
    <t xml:space="preserve">Высокие репосты в групповые чаты, сохранения перед сессией</t>
  </si>
  <si>
    <t xml:space="preserve">Опытные маркетологи выбирают между этими двумя иначе, чем новички</t>
  </si>
  <si>
    <t xml:space="preserve">Контраст «новичок» vs «опытный» в выборе инструмента → критерий выбора → приглашение в группу «опытных»</t>
  </si>
  <si>
    <t xml:space="preserve">Профессиональная идентичность стимулирует пересылку внутри маркетинговых команд</t>
  </si>
  <si>
    <t xml:space="preserve">Высокие сохранения как референс для команды</t>
  </si>
  <si>
    <t xml:space="preserve">Это видео не для тех, кто ещё печатает письма с нуля — для остальных</t>
  </si>
  <si>
    <t xml:space="preserve">Лёгкое исключение «непродвинутых» из аудитории → демонстрация AI-шаблона → ирония в payoff</t>
  </si>
  <si>
    <t xml:space="preserve">Лёгкий троллинг идентичности провоцирует пересылку и как шутку, и как подсказку</t>
  </si>
  <si>
    <t xml:space="preserve">Высокие репосты с подписью «это тебе»</t>
  </si>
  <si>
    <t xml:space="preserve">Те, кто следит за AI каждый день, уже знают эту новость</t>
  </si>
  <si>
    <t xml:space="preserve">Идентичность «осведомлённого инсайдера» → подача новости «для своих» → деталь, неизвестная массовой аудитории</t>
  </si>
  <si>
    <t xml:space="preserve">Зритель делится, чтобы подтвердить статус «следящего за трендами»</t>
  </si>
  <si>
    <t xml:space="preserve">Высокие репосты как демонстрация осведомлённости</t>
  </si>
  <si>
    <t xml:space="preserve">Руководители, у которых нет времени на хаос, делают это в начале недели</t>
  </si>
  <si>
    <t xml:space="preserve">Идентичность «организованного руководителя» → конкретный понедельничный AI-ритуал → итог: чистая неделя</t>
  </si>
  <si>
    <t xml:space="preserve">Управленческая аудитория делится внутри руководящих чатов как стандарт</t>
  </si>
  <si>
    <t xml:space="preserve">Высокие сохранения, репосты в управленческие сообщества</t>
  </si>
  <si>
    <t xml:space="preserve">Разработчики, которые ценят свой код, не пишут boilerplate руками в 2026</t>
  </si>
  <si>
    <t xml:space="preserve">Профессиональная идентичность «ценящего качество кода» → демонстрация AI-ассистента → ускоренный результат</t>
  </si>
  <si>
    <t xml:space="preserve">Технически подкованная аудитория делится в dev-комьюнити как маркер актуальности</t>
  </si>
  <si>
    <t xml:space="preserve">Высокие репосты в dev-чаты и каналы</t>
  </si>
  <si>
    <t xml:space="preserve">Компании, которые масштабируются без найма, делают именно это</t>
  </si>
  <si>
    <t xml:space="preserve">Аспирационная бизнес-идентичность «эффективных» → кейс автоматизации → результат в цифрах</t>
  </si>
  <si>
    <t xml:space="preserve">Предприниматели делятся, чтобы ассоциировать себя с «эффективными» компаниями</t>
  </si>
  <si>
    <t xml:space="preserve">Высокие сохранения, пересылка инвесторам и партнёрам</t>
  </si>
  <si>
    <t xml:space="preserve">Дизайнеры, которые не боятся AI, выбирают этот инструмент по другой причине</t>
  </si>
  <si>
    <t xml:space="preserve">Идентичность «небоящегося дизайнера» против скептиков → объяснение критерия → приглашение в группу</t>
  </si>
  <si>
    <t xml:space="preserve">Профессиональная гордость стимулирует репост в дизайн-сообщества</t>
  </si>
  <si>
    <t xml:space="preserve">Высокие сохранения, обсуждение в комментариях с про- и контра-аргументами</t>
  </si>
  <si>
    <t xml:space="preserve">Это для тех, кто устал быть «всегда онлайн» по работе</t>
  </si>
  <si>
    <t xml:space="preserve">Идентичность уставшего от переработок → AI-решение для границ → новая идентичность «человека с балансом»</t>
  </si>
  <si>
    <t xml:space="preserve">Эмоциональный отклик про баланс жизни и работы провоцирует репост близким</t>
  </si>
  <si>
    <t xml:space="preserve">Высокие репосты с личными комментариями о выгорании</t>
  </si>
  <si>
    <t xml:space="preserve">Копирайтеры нового поколения больше не боятся чистого листа — вот почему</t>
  </si>
  <si>
    <t xml:space="preserve">Идентичность «нового поколения» против страха чистого листа → AI-приём для старта текста → итог</t>
  </si>
  <si>
    <t xml:space="preserve">Профессиональная идентичность мотивирует шерить внутри копирайтерских комьюнити</t>
  </si>
  <si>
    <t xml:space="preserve">Высокие сохранения, обсуждения техник в комментариях</t>
  </si>
  <si>
    <t xml:space="preserve">Студенты, которые внедрили AI первыми, уже обогнали поток</t>
  </si>
  <si>
    <t xml:space="preserve">Идентичность «опередившего поток» → конкретный кейс выпускника → приглашение присоединиться</t>
  </si>
  <si>
    <t xml:space="preserve">Социальное доказательство плюс страх отстать мотивирует репост в учебные чаты</t>
  </si>
  <si>
    <t xml:space="preserve">Высокие переходы по ссылке, репосты потенциальным студентам</t>
  </si>
  <si>
    <t xml:space="preserve">Я протестировал 47 AI-инструментов за месяц — вот топ-3 для работы с текстом</t>
  </si>
  <si>
    <t xml:space="preserve">Скринкаст интерфейса вместо лица как доказательство объёма тестирования в первом кадре → 3 инструмента с цифрами → итоговый рейтинг</t>
  </si>
  <si>
    <t xml:space="preserve">Доверие к объёму экспертизы повышает шанс сохранения как авторитетного источника</t>
  </si>
  <si>
    <t xml:space="preserve">Высокие сохранения, низкий ранний отток благодаря мгновенному доверию</t>
  </si>
  <si>
    <t xml:space="preserve">8 лет в маркетинге — и это первый AI-инструмент, который реально меняет процесс</t>
  </si>
  <si>
    <t xml:space="preserve">Конкретный профессиональный стаж как credential → демонстрация инструмента → личная оценка эксперта</t>
  </si>
  <si>
    <t xml:space="preserve">Профессиональный авторитет повышает вес рекомендации для целевой аудитории</t>
  </si>
  <si>
    <t xml:space="preserve">Высокий completion rate, доверительные комментарии с вопросами</t>
  </si>
  <si>
    <t xml:space="preserve">Я был на презентации релиза — вот что не попало в официальный анонс</t>
  </si>
  <si>
    <t xml:space="preserve">Личное присутствие как доказательство первоисточника → детали, не описанные в пресс-релизе → вывод</t>
  </si>
  <si>
    <t xml:space="preserve">Эксклюзивность инсайдерской информации повышает доверие и желание поделиться «из первых рук»</t>
  </si>
  <si>
    <t xml:space="preserve">Высокие репосты с пометкой «из первых рук»</t>
  </si>
  <si>
    <t xml:space="preserve">Цифры из реального проекта на 50 000 строк данных — не из демо</t>
  </si>
  <si>
    <t xml:space="preserve">Указание реального масштаба данных в первом кадре → процесс на реальном датасете → измеримый итог</t>
  </si>
  <si>
    <t xml:space="preserve">Достоверность реального кейса повышает доверие B2B-аудитории сильнее синтетического демо</t>
  </si>
  <si>
    <t xml:space="preserve">Высокие сохранения, переходы в профиль за консультацией</t>
  </si>
  <si>
    <t xml:space="preserve">Скринкаст, не постановка: я не останавливал запись ни разу</t>
  </si>
  <si>
    <t xml:space="preserve">Явное заявление о непрерывной записи как доказательство честности → процесс целиком → результат</t>
  </si>
  <si>
    <t xml:space="preserve">Подчёркнутая прозрачность повышает доверие в нише, где много постановочных демо</t>
  </si>
  <si>
    <t xml:space="preserve">Высокий completion rate, комментарии с благодарностью за честность</t>
  </si>
  <si>
    <t xml:space="preserve">Сертифицированный тренер по Notion показывает то, что не входит в официальный курс</t>
  </si>
  <si>
    <t xml:space="preserve">Профессиональная сертификация как credential → демонстрация продвинутого приёма → личная рекомендация</t>
  </si>
  <si>
    <t xml:space="preserve">Экспертный статус повышает доверие, особенно у нишевой профессиональной аудитории</t>
  </si>
  <si>
    <t xml:space="preserve">Высокие сохранения как обучающий материал</t>
  </si>
  <si>
    <t xml:space="preserve">После 200 часов работы в обоих инструментах — вот честный вердикт</t>
  </si>
  <si>
    <t xml:space="preserve">Конкретное количество часов как доказательство глубины опыта → сравнение по реальным сценариям → итог</t>
  </si>
  <si>
    <t xml:space="preserve">Объём личного опыта повышает вес мнения сильнее, чем у разовых обзоров</t>
  </si>
  <si>
    <t xml:space="preserve">Высокие сохранения, доверительные комментарии-вопросы по нюансам</t>
  </si>
  <si>
    <t xml:space="preserve">Я читаю changelog каждого релиза — вот что реально важно из вчерашнего обновления</t>
  </si>
  <si>
    <t xml:space="preserve">Регулярность мониторинга как credential → фильтрация важного из списка изменений → вывод для пользователя</t>
  </si>
  <si>
    <t xml:space="preserve">Экспертная фильтрация информации экономит время зрителю, повышая шанс сохранения и подписки</t>
  </si>
  <si>
    <t xml:space="preserve">Высокий completion rate, рост подписки как на «надёжный фильтр новостей»</t>
  </si>
  <si>
    <t xml:space="preserve">Я веду команду из 12 человек на AI-автоматизации — вот стек целиком</t>
  </si>
  <si>
    <t xml:space="preserve">Управленческий опыт и масштаб команды как credential → обзор реального стека → результат по времени команды</t>
  </si>
  <si>
    <t xml:space="preserve">Реальный управленческий кейс убедительнее теоретических советов для руководителей</t>
  </si>
  <si>
    <t xml:space="preserve">Бывший инженер крупной AI-лаборатории объясняет, как на самом деле работает промпт-инжиниринг</t>
  </si>
  <si>
    <t xml:space="preserve">Профессиональный бэкграунд как credential → разбор механики на конкретном примере → практический вывод</t>
  </si>
  <si>
    <t xml:space="preserve">Инсайдерский профессиональный опыт резко повышает воспринимаемую достоверность</t>
  </si>
  <si>
    <t xml:space="preserve">Высокие сохранения, репосты как «экспертное мнение»</t>
  </si>
  <si>
    <t xml:space="preserve">Я тестировал AI-инструменты в трёх агентствах — везде разные победители</t>
  </si>
  <si>
    <t xml:space="preserve">Множественный контекст применения как credential → сравнение по типу агентства → нюансированный вывод</t>
  </si>
  <si>
    <t xml:space="preserve">Нюансированная экспертиза (не «всем подходит одно») повышает доверие искушённой аудитории</t>
  </si>
  <si>
    <t xml:space="preserve">Высокие сохранения, обсуждение в комментариях своего контекста</t>
  </si>
  <si>
    <t xml:space="preserve">Финансовый директор объясняет, как считать ROI от AI правильно</t>
  </si>
  <si>
    <t xml:space="preserve">Профессиональная роль как credential → разбор частой ошибки в расчёте → правильная формула</t>
  </si>
  <si>
    <t xml:space="preserve">Финансовая экспертиза резко повышает доверие к цифрам ROI у бизнес-аудитории</t>
  </si>
  <si>
    <t xml:space="preserve">Высокие сохранения как референс для собственных расчётов</t>
  </si>
  <si>
    <t xml:space="preserve">10 000 промптов протестировано — вот формула, которая работает чаще всего</t>
  </si>
  <si>
    <t xml:space="preserve">Объём тестирования как credential → разбор формулы по частям → пример применения</t>
  </si>
  <si>
    <t xml:space="preserve">Статистическая основательность сильнее единичного личного опыта</t>
  </si>
  <si>
    <t xml:space="preserve">Высокие сохранения, попытки применить формулу в комментариях</t>
  </si>
  <si>
    <t xml:space="preserve">Профессиональный видеомонтажёр: вот где AI ещё не заменит человека</t>
  </si>
  <si>
    <t xml:space="preserve">Профессиональный статус как credential для честного контринтуитивного вывода → примеры ограничений → баланс мнения</t>
  </si>
  <si>
    <t xml:space="preserve">Честность эксперта о пределах технологии повышает доверие сильнее, чем хайп</t>
  </si>
  <si>
    <t xml:space="preserve">Высокие сохранения, доверительные обсуждения в комментариях</t>
  </si>
  <si>
    <t xml:space="preserve">Коуч по продуктивности 6 лет — вот единственный AI-инструмент, который я реально использую</t>
  </si>
  <si>
    <t xml:space="preserve">Профессиональный опыт как credential → честный отбор «единственного» инструмента из множества → причина выбора</t>
  </si>
  <si>
    <t xml:space="preserve">Избирательность эксперта повышает доверие через простоту выбора</t>
  </si>
  <si>
    <t xml:space="preserve">Высокие сохранения, рост подписки на профиль эксперта</t>
  </si>
  <si>
    <t xml:space="preserve">Я внедрял этот API в день релиза — вот как он работает на практике</t>
  </si>
  <si>
    <t xml:space="preserve">Техническая практика день-в-день как credential → демонстрация реальной интеграции → практический вывод</t>
  </si>
  <si>
    <t xml:space="preserve">Техническая глубина в день релиза резко повышает доверие разработчиков</t>
  </si>
  <si>
    <t xml:space="preserve">Высокие репосты в dev-сообщества, сохранения как техническая заметка</t>
  </si>
  <si>
    <t xml:space="preserve">Юрист объясняет, что в лицензии AI-инструментов реально означает «коммерческое использование»</t>
  </si>
  <si>
    <t xml:space="preserve">Юридическая экспертиза как credential для разбора мелкого шрифта → примеры формулировок → практический вывод</t>
  </si>
  <si>
    <t xml:space="preserve">Редкая юридическая ниша резко повышает доверие и шанс сохранения</t>
  </si>
  <si>
    <t xml:space="preserve">Высокие сохранения как справочный материал, репосты юридическим отделам</t>
  </si>
  <si>
    <t xml:space="preserve">Сравнил ChatGPT и Claude в одном письме — разница в тоне шокировала. Сохрани — пригодится в понедельник</t>
  </si>
  <si>
    <t xml:space="preserve">Параллельная задача для обоих инструментов → явная разница в результате → CTA на сохранение под конкретный повод</t>
  </si>
  <si>
    <t xml:space="preserve">Прямой CTA с конкретным поводом сохранения резко повышает saves и sends</t>
  </si>
  <si>
    <t xml:space="preserve">Высокие сейвы и репосты в директ перед началом рабочей недели</t>
  </si>
  <si>
    <t xml:space="preserve">Демонстрация AI-шаблона письма → явный адресат пересылки в подписи → конкретная экономия времени</t>
  </si>
  <si>
    <t xml:space="preserve">Чёткий адресат снижает трение для решения поделиться</t>
  </si>
  <si>
    <t xml:space="preserve">Высокий sends per reach, комментарии с тегами коллег</t>
  </si>
  <si>
    <t xml:space="preserve">3 AI-инструмента, которые твоя команда ещё не знает</t>
  </si>
  <si>
    <t xml:space="preserve">Listicle-формат с конкретными названиями → демонстрация каждого за 5–7 секунд → итоговая карточка со списком</t>
  </si>
  <si>
    <t xml:space="preserve">Listicle-формат изначально оптимизирован под пересылку команде или начальнику</t>
  </si>
  <si>
    <t xml:space="preserve">Высокие сейвы, репосты в рабочие чаты целиком</t>
  </si>
  <si>
    <t xml:space="preserve">Это нужно показать дизайнеру в твоей команде прямо сейчас</t>
  </si>
  <si>
    <t xml:space="preserve">Wow-результат AI-генерации → явный адресат «дизайнеру в команде» → CTA переслать</t>
  </si>
  <si>
    <t xml:space="preserve">Узкий целевой адресат повышает релевантность пересылки</t>
  </si>
  <si>
    <t xml:space="preserve">Высокие репосты в директ конкретным профессиям</t>
  </si>
  <si>
    <t xml:space="preserve">Какой AI-инструмент выбрала бы твоя команда — голосуй в комментариях</t>
  </si>
  <si>
    <t xml:space="preserve">Сравнение двух вариантов без явного вывода → призыв голосовать → ответ автора в комментариях позже</t>
  </si>
  <si>
    <t xml:space="preserve">Открытый вопрос провоцирует комментарии и обсуждение в обоих лагерях</t>
  </si>
  <si>
    <t xml:space="preserve">Высокая комментарийная активность, рост охвата через дискуссию</t>
  </si>
  <si>
    <t xml:space="preserve">Отправь это тому, кто всё ещё спорит, что AI бесполезен</t>
  </si>
  <si>
    <t xml:space="preserve">Юмористический контраст ожидание/реальность → явный адресат-скептик → ирония в payoff</t>
  </si>
  <si>
    <t xml:space="preserve">Провокационный адресат создаёт повод для дружеского спора в личке</t>
  </si>
  <si>
    <t xml:space="preserve">Высокие репосты как повод для шутливого спора с конкретным человеком</t>
  </si>
  <si>
    <t xml:space="preserve">Сохрани это до следующего дедлайна — пригодится</t>
  </si>
  <si>
    <t xml:space="preserve">Конкретный AI-приём под цейтнот → явная привязка к будущей ситуации → CTA на сохранение</t>
  </si>
  <si>
    <t xml:space="preserve">Привязка к будущему событию создаёт надёжный отложенный повод вернуться</t>
  </si>
  <si>
    <t xml:space="preserve">Высокие сейвы с долгим временем удержания (return visits)</t>
  </si>
  <si>
    <t xml:space="preserve">Покажи это своему руководителю — это сэкономит бюджет команды</t>
  </si>
  <si>
    <t xml:space="preserve">Конкретный кейс экономии → явный адресат (руководитель) → измеримая выгода в payoff</t>
  </si>
  <si>
    <t xml:space="preserve">Прямая финансовая выгода для адресата снижает трение для пересылки наверх</t>
  </si>
  <si>
    <t xml:space="preserve">Высокие репосты внутри корпоративных чатов, сохранения для встреч</t>
  </si>
  <si>
    <t xml:space="preserve">5 AI-инструментов одной картинкой — сохрани как шпаргалку</t>
  </si>
  <si>
    <t xml:space="preserve">Инфографика-сводка в одном кадре → краткое объяснение каждого пункта → явный CTA «сохрани как шпаргалку»</t>
  </si>
  <si>
    <t xml:space="preserve">Формат «шпаргалка» специально оптимизирован под высокую долю сохранений</t>
  </si>
  <si>
    <t xml:space="preserve">Очень высокие сейвы, относительно низкие лайки — характерный паттерн референсного контента</t>
  </si>
  <si>
    <t xml:space="preserve">Скинь другу-фрилансеру — это изменит его расчёт времени</t>
  </si>
  <si>
    <t xml:space="preserve">AI-приём для тайм-трекинга → явный адресат-фрилансер → конкретная цифра сэкономленных часов</t>
  </si>
  <si>
    <t xml:space="preserve">Узкая профессиональная аудитория с чётким адресатом повышает релевантность пересылки</t>
  </si>
  <si>
    <t xml:space="preserve">Высокие репосты во фриланс-сообщества</t>
  </si>
  <si>
    <t xml:space="preserve">Перешли тому, кто пропустил этот релиз — он важный</t>
  </si>
  <si>
    <t xml:space="preserve">Сжатая новость с конкретной деталью → явный адресат «кто пропустил» → CTA переслать</t>
  </si>
  <si>
    <t xml:space="preserve">Роль «быть первым, кто сообщил новость другу» — сильный мотиватор пересылки</t>
  </si>
  <si>
    <t xml:space="preserve">Высокие репосты сразу после публикации, пик в первые 2 часа</t>
  </si>
  <si>
    <t xml:space="preserve">Тегни того, кому нужно это увидеть для вдохновения</t>
  </si>
  <si>
    <t xml:space="preserve">Впечатляющий AI-результат → явный призыв тегнуть → открытый комментарий для тегов</t>
  </si>
  <si>
    <t xml:space="preserve">Прямой призыв к тегу создаёт публичный, видимый sharing-сигнал</t>
  </si>
  <si>
    <t xml:space="preserve">Высокая комментарийная активность с тегами, вторичный охват через тегнутых</t>
  </si>
  <si>
    <t xml:space="preserve">Это для группового чата с командой — отправь не глядя</t>
  </si>
  <si>
    <t xml:space="preserve">Универсальный AI-лайфхак, подходящий любой команде → призыв «отправь не глядя» → минимум объяснений</t>
  </si>
  <si>
    <t xml:space="preserve">Сниженный порог решения увеличивает импульсивные репосты</t>
  </si>
  <si>
    <t xml:space="preserve">Высокий sends per reach в первые часы после публикации</t>
  </si>
  <si>
    <t xml:space="preserve">Спор в комментариях: какой AI отвечает честнее на сложные вопросы</t>
  </si>
  <si>
    <t xml:space="preserve">Провокационное сравнение ответов на спорный вопрос → приглашение к дискуссии → автор не даёт финальный вердикт</t>
  </si>
  <si>
    <t xml:space="preserve">Намеренно открытый спор без вердикта продлевает обсуждение и органический охват</t>
  </si>
  <si>
    <t xml:space="preserve">Очень высокая комментарийная активность, длинные треды</t>
  </si>
  <si>
    <t xml:space="preserve">Если ты понял этот мем про AI — ты в теме</t>
  </si>
  <si>
    <t xml:space="preserve">Нишевый юмор, понятный только активным пользователям AI-инструментов → визуальная шутка → CTA тегнуть «своих»</t>
  </si>
  <si>
    <t xml:space="preserve">Инсайдерский юмор создаёт эффект эксклюзивного клуба, который хочется показать «своим»</t>
  </si>
  <si>
    <t xml:space="preserve">Высокие репосты внутри нишевых комьюнити-чатов</t>
  </si>
  <si>
    <t xml:space="preserve">Отправь в чат основателей — редкий честный разбор AI-инструментов для бизнеса</t>
  </si>
  <si>
    <t xml:space="preserve">Развёрнутый честный разбор без рекламной подачи → явный адресат (чат основателей) → конкретные выводы</t>
  </si>
  <si>
    <t xml:space="preserve">Адресность к узкой профессиональной группе повышает релевантность шеринга</t>
  </si>
  <si>
    <t xml:space="preserve">Высокие репосты в закрытые бизнес-чаты, сохранения как референс</t>
  </si>
  <si>
    <t xml:space="preserve">Если знаешь того, кому пора сменить профессию — это видео для него</t>
  </si>
  <si>
    <t xml:space="preserve">История трансформации через продукт → явный адресат «тому, кому пора» → CTA переслать с приглашением</t>
  </si>
  <si>
    <t xml:space="preserve">Эмоционально значимый адресат — сильный повод для личной, осмысленной пересылки</t>
  </si>
  <si>
    <t xml:space="preserve">Высокие конверсионные переходы по ссылке от пересланных контактов</t>
  </si>
  <si>
    <t xml:space="preserve">История</t>
  </si>
  <si>
    <t xml:space="preserve">Чуть не сорвал дедлайн — нашёл это в 11 вечера</t>
  </si>
  <si>
    <t xml:space="preserve">Hook: тревожная завязка → Problem: отчёт на 6 часов работы → Story: поиск решения ночью → Resolution: закрыл за 12 минут, показано как именно</t>
  </si>
  <si>
    <t xml:space="preserve">Завершённая личная история с конкретным числом вызывает эмпатию и желание поделиться «со мной было так же»</t>
  </si>
  <si>
    <t xml:space="preserve">Высокий completion rate, эмоциональные комментарии с похожими историями</t>
  </si>
  <si>
    <t xml:space="preserve">Меня чуть не уволили за опоздавший отчёт — а потом я нашёл способ его не бояться</t>
  </si>
  <si>
    <t xml:space="preserve">Hook: личный провал → Problem: повторяющаяся проблема со временем → Story: неудачные попытки решений → Resolution: финальный AI-приём и итог</t>
  </si>
  <si>
    <t xml:space="preserve">Уязвимая личная история создаёт сильную эмоциональную связь со зрителем</t>
  </si>
  <si>
    <t xml:space="preserve">Высокие репосты с личными комментариями о похожем опыте</t>
  </si>
  <si>
    <t xml:space="preserve">Мы чуть не потеряли клиента из-за медленного ответа — вот что изменило всё</t>
  </si>
  <si>
    <t xml:space="preserve">Hook: бизнес-кризис → Problem: медленная коммуникация с клиентом → Story: внедрение AI-ассистента под давлением сроков → Resolution: клиент остался, цифры ответа</t>
  </si>
  <si>
    <t xml:space="preserve">Бизнес-история с реальной ставкой резонирует с предпринимательской аудиторией</t>
  </si>
  <si>
    <t xml:space="preserve">Высокие сохранения как кейс для собственной команды</t>
  </si>
  <si>
    <t xml:space="preserve">Я не верил, что AI нарисует то, что у меня в голове — пока не увидел это</t>
  </si>
  <si>
    <t xml:space="preserve">Hook: скепсис как завязка → Problem: трудно объяснить идею художнику → Story: промптинг с правками → Resolution: финальное изображение, совпавшее с задумкой</t>
  </si>
  <si>
    <t xml:space="preserve">Дуга «от скепсиса к удивлению» вызывает желание показать другим доказательство</t>
  </si>
  <si>
    <t xml:space="preserve">Высокий completion rate, комментарии с собственными попытками повторить</t>
  </si>
  <si>
    <t xml:space="preserve">Я работал по выходным три месяца подряд — потом изменил один процесс</t>
  </si>
  <si>
    <t xml:space="preserve">Hook: усталость как завязка → Problem: переработки выходного дня → Story: AI-автоматизация рутинных задач → Resolution: первые свободные выходные, конкретный эффект</t>
  </si>
  <si>
    <t xml:space="preserve">История про выгорание и восстановление баланса находит широкий эмоциональный отклик</t>
  </si>
  <si>
    <t xml:space="preserve">Высокие репосты близким с личными комментариями</t>
  </si>
  <si>
    <t xml:space="preserve">Доверил AI ответить клиенту вместо меня — вот что произошло</t>
  </si>
  <si>
    <t xml:space="preserve">Hook: рискованное решение → Problem: усталость отвечать однотипно → Story: AI отвечает, начинаются неожиданности → Resolution: комедийная развязка с выводом</t>
  </si>
  <si>
    <t xml:space="preserve">Комедийная история с риском и неожиданной развязкой — формат для пересылки «ты не поверишь»</t>
  </si>
  <si>
    <t xml:space="preserve">Высокие репосты с подписью «вот это поворот»</t>
  </si>
  <si>
    <t xml:space="preserve">Полгода училась монтажу руками — а потом узнала про эту функцию</t>
  </si>
  <si>
    <t xml:space="preserve">Hook: долгий путь вручную как завязка → Problem: время на ручной монтаж → Story: случайное открытие AI-функции → Resolution: сравнение времени до/после</t>
  </si>
  <si>
    <t xml:space="preserve">История «зря потраченного времени» резонирует с теми, кто сейчас делает так же</t>
  </si>
  <si>
    <t xml:space="preserve">Высокие сохранения, комментарии «а я только что узнал(а)»</t>
  </si>
  <si>
    <t xml:space="preserve">Я был скептиком насчёт этого обновления — пока не протестировал его на реальном проекте</t>
  </si>
  <si>
    <t xml:space="preserve">Hook: публичный скепсис как завязка → Problem: ожидание разочарования от хайпа → Story: тест на реальной задаче → Resolution: честный вывод, изменивший мнение</t>
  </si>
  <si>
    <t xml:space="preserve">Дуга «от скепсиса к признанию» воспринимается честнее безусловного хайпа, повышая доверие к шерингу</t>
  </si>
  <si>
    <t xml:space="preserve">Высокие сохранения, доверительные комментарии</t>
  </si>
  <si>
    <t xml:space="preserve">Клиент попросил невозможное — у меня было 2 часа на это</t>
  </si>
  <si>
    <t xml:space="preserve">Hook: давление времени как завязка → Problem: невыполнимый на первый взгляд запрос → Story: AI-инструменты под дедлайном → Resolution: сданная работа, реакция клиента</t>
  </si>
  <si>
    <t xml:space="preserve">История «под давлением» с конкретными ставками держит внимание через нарастающее напряжение</t>
  </si>
  <si>
    <t xml:space="preserve">Высокий completion rate, комментарии с похожими рабочими историями</t>
  </si>
  <si>
    <t xml:space="preserve">У меня было 47 непрочитанных писем каждое утро — пока я не сделал одно</t>
  </si>
  <si>
    <t xml:space="preserve">Hook: конкретная цифра боли как завязка → Problem: накопление и стресс от почты → Story: настройка AI-сортировки писем → Resolution: новое утро с конкретным числом писем</t>
  </si>
  <si>
    <t xml:space="preserve">Конкретные узнаваемые цифры делают историю максимально относимой к опыту зрителя</t>
  </si>
  <si>
    <t xml:space="preserve">Высокие репосты с подписью «это про меня»</t>
  </si>
  <si>
    <t xml:space="preserve">Стартап на грани закрытия — один процесс на AI всё изменил</t>
  </si>
  <si>
    <t xml:space="preserve">Hook: драматичная завязка про выживание бизнеса → Problem: нехватка ресурсов на ручную работу → Story: автоматизация ключевого процесса → Resolution: бизнес выжил, цифры роста</t>
  </si>
  <si>
    <t xml:space="preserve">История выживания бизнеса с высокими ставками вызывает сильный эмоциональный отклик у предпринимателей</t>
  </si>
  <si>
    <t xml:space="preserve">Высокие сохранения, репосты в стартап-сообщества</t>
  </si>
  <si>
    <t xml:space="preserve">Меня высмеяли за вопрос на созвоне — теперь я готовлюсь иначе</t>
  </si>
  <si>
    <t xml:space="preserve">Hook: неловкая личная ситуация как завязка → Problem: страх задать «глупый» вопрос неподготовленным → Story: подготовка к встречам с AI-инструментом → Resolution: уверенность на следующем созвоне</t>
  </si>
  <si>
    <t xml:space="preserve">Уязвимая социальная история вызывает сильную эмпатию и желание помочь другим избежать этого</t>
  </si>
  <si>
    <t xml:space="preserve">Высокие репосты коллегам перед важными встречами</t>
  </si>
  <si>
    <t xml:space="preserve">Я потратил $200 на неправильный инструмент, прежде чем нашёл этот</t>
  </si>
  <si>
    <t xml:space="preserve">Hook: финансовая ошибка как завязка → Problem: разочарование в первой покупке → Story: поиск альтернативы методом проб → Resolution: более дешёвое и эффективное решение</t>
  </si>
  <si>
    <t xml:space="preserve">История о финансовой ошибке и её исправлении экономит деньги зрителю — сильный повод поделиться</t>
  </si>
  <si>
    <t xml:space="preserve">Высокие сохранения, комментарии с собственным опытом трат</t>
  </si>
  <si>
    <t xml:space="preserve">Попросил AI написать письмо боссу — отправил не читая</t>
  </si>
  <si>
    <t xml:space="preserve">Hook: рискованное решение как завязка → Problem: лень/спешка → Story: что было в письме на самом деле → Resolution: комедийная развязка с выводом «всегда проверяй»</t>
  </si>
  <si>
    <t xml:space="preserve">Комедийная история про реальный риск с относимой ошибкой — формат для пересылки «у меня чуть так не было»</t>
  </si>
  <si>
    <t xml:space="preserve">Высокие репосты с шутливыми комментариями о похожих рисках</t>
  </si>
  <si>
    <t xml:space="preserve">Я говорила «у меня нет на это времени» полгода — потом нашла 2 часа в день</t>
  </si>
  <si>
    <t xml:space="preserve">Hook: повторяющаяся отговорка как завязка → Problem: ощущение нехватки времени → Story: AI-аудит собственного расписания → Resolution: конкретные найденные 2 часа</t>
  </si>
  <si>
    <t xml:space="preserve">История самопознания через данные резонирует с широкой аудиторией перегруженных людей</t>
  </si>
  <si>
    <t xml:space="preserve">Высокие сохранения, репосты с личными признаниями в комментариях</t>
  </si>
  <si>
    <t xml:space="preserve">Год назад я не знала, что такое промпт — сегодня это моя профессия</t>
  </si>
  <si>
    <t xml:space="preserve">Hook: контраст «было / стало» как завязка → Problem: страх начать с нуля → Story: путь обучения через продукт → Resolution: текущий профессиональный результат</t>
  </si>
  <si>
    <t xml:space="preserve">Трансформационная история «с нуля до результата» — мощный социальный proof для тех, кто сомневается</t>
  </si>
  <si>
    <t xml:space="preserve">Высокие переходы по ссылке от пересланных историй, комментарии «как начать»</t>
  </si>
  <si>
    <t xml:space="preserve">🔬  ПОЧЕМУ AI-КОНТЕНТ МОЖЕТ ТЕРЯТЬ ОХВАТ В INSTAGRAM</t>
  </si>
  <si>
    <t xml:space="preserve">Система производит объём — но объём без понимания ранжирования Instagram превращается в спам-паттерн, который алгоритм подавляет. Раздел основан на актуальных данных об алгоритме Reels 2026.</t>
  </si>
  <si>
    <t xml:space="preserve">  А. ФАКТОРЫ, КОТОРЫЕ МОГУТ ЗАНИЖАТЬ ОХВАТ AI-КОНТЕНТА</t>
  </si>
  <si>
    <t xml:space="preserve">Фактор</t>
  </si>
  <si>
    <t xml:space="preserve">Почему это риск для этой системы</t>
  </si>
  <si>
    <t xml:space="preserve">Уровень риска</t>
  </si>
  <si>
    <t xml:space="preserve">Классификатор оригинальности (Originality Score, с окт. 2025)</t>
  </si>
  <si>
    <t xml:space="preserve">Шаблонный AI-контент с одинаковыми визуальными паттернами и войсовером на 15 аккаунтах одновременно статистически похож на репост/aggregator-паттерн. Аккаунты с 10+ репостами за 30 дней полностью исключаются из рекомендаций.</t>
  </si>
  <si>
    <t xml:space="preserve">Скриншоты интерфейсов без трансформации</t>
  </si>
  <si>
    <t xml:space="preserve">Прямой скринкаст чужого приложения без монтажной обработки и личного комментария может читаться алгоритмом как контент «не с этой платформы», а не как оригинальная съёмка.</t>
  </si>
  <si>
    <t xml:space="preserve">AI-info / AI-creator лейблы на органике</t>
  </si>
  <si>
    <t xml:space="preserve">Instagram официально заявляет, что лейбл AI-info на отдельном посте не влияет на дистрибуцию органического контента. Риск реален в первую очередь для рекламного/спонсорского контента с реалистичным AI-голосом или сценами, оценёнными как вводящие в заблуждение — там зафиксированы падения охвата до ~80%.</t>
  </si>
  <si>
    <t xml:space="preserve">Однородный синтетический «акустический отпечаток»</t>
  </si>
  <si>
    <t xml:space="preserve">Полностью синтетический войсовер на всех 100 видео в день создаёт одинаковое звучание по всей экосистеме. Это не штрафуется алгоритмом напрямую, но снижает ощущение «живого автора» у зрителя и может снижать completion rate, который Instagram использует как ключевой сигнал ранжирования.</t>
  </si>
  <si>
    <t xml:space="preserve">Объём публикаций без пропорционального роста engagement</t>
  </si>
  <si>
    <t xml:space="preserve">Алгоритм сравнивает baseline-engagement аккаунта с историей. Постинг ради количества без роста вовлечённости размывает средний engagement и наказывается понижением охвата — «два сильных поста в неделю лучше семи посредственных».</t>
  </si>
  <si>
    <t xml:space="preserve">EU AI Act, Статья 50 (обязательна с 2 авг. 2026)</t>
  </si>
  <si>
    <t xml:space="preserve">В ЕС AI-контент без существенной человеческой редактуры подлежит обязательной маркировке. Контент, прошедший человеческое редактирование/ответственность, освобождён от требования — это прямой аргумент в пользу QC-шлюза на этапе 7 пайплайна (см. 05 Pipeline).</t>
  </si>
  <si>
    <t xml:space="preserve">Низкий</t>
  </si>
  <si>
    <t xml:space="preserve">  Б. ЧТО РЕАЛЬНО ВЛИЯЕТ НА ОХВАТ В 2026</t>
  </si>
  <si>
    <t xml:space="preserve">Сигнал ранжирования</t>
  </si>
  <si>
    <t xml:space="preserve">Что это значит на практике</t>
  </si>
  <si>
    <t xml:space="preserve">Вес</t>
  </si>
  <si>
    <t xml:space="preserve">Watch time / completion rate</t>
  </si>
  <si>
    <t xml:space="preserve">Подтверждено Instagram как фактор №1. Короткие, плотные ролики с удержанием первых 3 секунд важнее количества лайков.</t>
  </si>
  <si>
    <t xml:space="preserve">Критический</t>
  </si>
  <si>
    <t xml:space="preserve">Вес в 3–5 раз выше обычных лайков для охвата за пределами подписчиков — главный множитель холодного охвата.</t>
  </si>
  <si>
    <t xml:space="preserve">Saves (сохранения)</t>
  </si>
  <si>
    <t xml:space="preserve">Сигнал долгосрочной ценности, особенно для образовательного и референсного контента — то есть для туториалов.</t>
  </si>
  <si>
    <t xml:space="preserve">Глубина комментариев</t>
  </si>
  <si>
    <t xml:space="preserve">Длина и осмысленность диалога важнее количества; ответ в первые 30 минут — отдельный сигнал ранжирования.</t>
  </si>
  <si>
    <t xml:space="preserve">Originality (не репост/не watermark)</t>
  </si>
  <si>
    <t xml:space="preserve">Оригинальный контент получает на 40–60% больше дистрибуции, чем репосты; watermark с других платформ детектируется и понижается.</t>
  </si>
  <si>
    <t xml:space="preserve">«Your Algorithm» topic controls (с дек. 2025)</t>
  </si>
  <si>
    <t xml:space="preserve">Пользователи явно выбирают темы в настройках. Контент без чёткой нишевой принадлежности становится «невидимым» — прямое обоснование нишевой сегментации в 02 Accounts.</t>
  </si>
  <si>
    <t xml:space="preserve">Account-level baseline engagement</t>
  </si>
  <si>
    <t xml:space="preserve">Алгоритм сравнивает каждый новый пост со средним engagement аккаунта — устойчиво слабые посты тянут вниз весь аккаунт.</t>
  </si>
  <si>
    <t xml:space="preserve">  В. КАК ЭТО КОМПЕНСИРОВАТЬ В СТРАТЕГИИ</t>
  </si>
  <si>
    <t xml:space="preserve">Действие</t>
  </si>
  <si>
    <t xml:space="preserve">Почему это работает</t>
  </si>
  <si>
    <t xml:space="preserve">Где в системе</t>
  </si>
  <si>
    <t xml:space="preserve">Трансформировать, а не просто записывать</t>
  </si>
  <si>
    <t xml:space="preserve">Монтаж + личный комментарий + субтитры поверх любого скринкаста переводит контент из категории «репост» в «оригинальный».</t>
  </si>
  <si>
    <t xml:space="preserve">05 Pipeline, шаг 6</t>
  </si>
  <si>
    <t xml:space="preserve">Живой голос на части аккаунтов</t>
  </si>
  <si>
    <t xml:space="preserve">Снижает однородность «акустического отпечатка», повышает ощущение creator presence хотя бы на флагманских каналах.</t>
  </si>
  <si>
    <t xml:space="preserve">06 Team, 07 AI Stack</t>
  </si>
  <si>
    <t xml:space="preserve">Тестировать форматы на холодную аудиторию перед широким постингом</t>
  </si>
  <si>
    <t xml:space="preserve">Снижает риск размытия baseline-engagement аккаунта слабым форматом до его публикации основной аудитории.</t>
  </si>
  <si>
    <t xml:space="preserve">01 Strategy, принцип 3</t>
  </si>
  <si>
    <t xml:space="preserve">Мониторить non-follower reach % ежедневно</t>
  </si>
  <si>
    <t xml:space="preserve">Канареечная метрика: падение сигналит о проблеме раньше, чем падают абсолютные просмотры.</t>
  </si>
  <si>
    <t xml:space="preserve">08 KPI Dashboard</t>
  </si>
  <si>
    <t xml:space="preserve">Держать 1 чёткую нишу на аккаунт</t>
  </si>
  <si>
    <t xml:space="preserve">Прямой ответ на topic-controls — контент должен однозначно попадать в одну выбираемую пользователем категорию.</t>
  </si>
  <si>
    <t xml:space="preserve">02 Accounts</t>
  </si>
  <si>
    <t xml:space="preserve">Вариативность подачи между 15 аккаунтами</t>
  </si>
  <si>
    <t xml:space="preserve">Разные хуки/темп/монтаж снижают вероятность паттерн-детекции «шаблонности» по экосистеме целиком.</t>
  </si>
  <si>
    <t xml:space="preserve">04 Content Engine</t>
  </si>
  <si>
    <t xml:space="preserve">CTA на вопрос + ответ в первые 30 минут</t>
  </si>
  <si>
    <t xml:space="preserve">Прямой, подтверждённый алгоритмический сигнал — глубина комментариев весит больше их количества.</t>
  </si>
  <si>
    <t xml:space="preserve">06 Team — Менеджер аккаунтов</t>
  </si>
  <si>
    <t xml:space="preserve">QC-шлюз = «существенная человеческая редактура»</t>
  </si>
  <si>
    <t xml:space="preserve">Снимает риск обязательной AI-маркировки по EU AI Act Статья 50 и одновременно поднимает качество.</t>
  </si>
  <si>
    <t xml:space="preserve">05 Pipeline, шаг 7</t>
  </si>
  <si>
    <t xml:space="preserve">Источники: Adam Mosseri (Instagram Head), публичные заявления янв. 2025 – июнь 2026; обзоры алгоритма Reels 2026 от Hootsuite, Buffer, Later, Sprout Social; обзоры политики маркировки AI-контента Meta и EU AI Act, 2026. Цифры и пороги могут измениться — перепроверяйте раз в квартал.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</si>
</sst>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General"/>
    <numFmt numFmtId="167" formatCode="0%"/>
    <numFmt numFmtId="168" formatCode="\$#,##0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0"/>
      <color rgb="FF64748B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0"/>
      <color rgb="FF2453E0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sz val="9.5"/>
      <color rgb="FF1E293B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i val="true"/>
      <sz val="8.5"/>
      <color rgb="FF1E293B"/>
      <name val="Calibri"/>
      <family val="0"/>
      <charset val="1"/>
    </font>
    <font>
      <b val="true"/>
      <sz val="9.5"/>
      <color rgb="FF2453E0"/>
      <name val="Calibri"/>
      <family val="0"/>
      <charset val="1"/>
    </font>
    <font>
      <sz val="9"/>
      <color rgb="FF1E293B"/>
      <name val="Calibri"/>
      <family val="0"/>
      <charset val="1"/>
    </font>
    <font>
      <b val="true"/>
      <sz val="10"/>
      <color rgb="FF0F172A"/>
      <name val="Calibri"/>
      <family val="0"/>
      <charset val="1"/>
    </font>
    <font>
      <b val="true"/>
      <sz val="9"/>
      <color rgb="FF2453E0"/>
      <name val="Calibri"/>
      <family val="0"/>
      <charset val="1"/>
    </font>
    <font>
      <b val="true"/>
      <sz val="10"/>
      <color rgb="FF147D4B"/>
      <name val="Calibri"/>
      <family val="0"/>
      <charset val="1"/>
    </font>
    <font>
      <b val="true"/>
      <sz val="9"/>
      <color rgb="FFB5650A"/>
      <name val="Calibri"/>
      <family val="0"/>
      <charset val="1"/>
    </font>
    <font>
      <b val="true"/>
      <sz val="9"/>
      <color rgb="FF147D4B"/>
      <name val="Calibri"/>
      <family val="0"/>
      <charset val="1"/>
    </font>
    <font>
      <b val="true"/>
      <sz val="9"/>
      <color rgb="FFB3261E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8.5"/>
      <color rgb="FFFFFFFF"/>
      <name val="Calibri"/>
      <family val="0"/>
      <charset val="1"/>
    </font>
    <font>
      <sz val="8.5"/>
      <color rgb="FFFFFFFF"/>
      <name val="Calibri"/>
      <family val="0"/>
      <charset val="1"/>
    </font>
    <font>
      <i val="true"/>
      <sz val="8.5"/>
      <color rgb="FF64748B"/>
      <name val="Calibri"/>
      <family val="0"/>
      <charset val="1"/>
    </font>
    <font>
      <b val="true"/>
      <sz val="9.5"/>
      <color rgb="FF6B3FA0"/>
      <name val="Calibri"/>
      <family val="0"/>
      <charset val="1"/>
    </font>
    <font>
      <sz val="8.5"/>
      <color rgb="FF1E293B"/>
      <name val="Calibri"/>
      <family val="0"/>
      <charset val="1"/>
    </font>
    <font>
      <b val="true"/>
      <sz val="9"/>
      <color rgb="FF64748B"/>
      <name val="Calibri"/>
      <family val="0"/>
      <charset val="1"/>
    </font>
    <font>
      <b val="true"/>
      <sz val="10"/>
      <color rgb="FF0E7C7B"/>
      <name val="Calibri"/>
      <family val="0"/>
      <charset val="1"/>
    </font>
    <font>
      <b val="true"/>
      <sz val="8.5"/>
      <color rgb="FF6B3FA0"/>
      <name val="Calibri"/>
      <family val="0"/>
      <charset val="1"/>
    </font>
    <font>
      <b val="true"/>
      <sz val="9.5"/>
      <color rgb="FF0E7C7B"/>
      <name val="Calibri"/>
      <family val="0"/>
      <charset val="1"/>
    </font>
    <font>
      <b val="true"/>
      <sz val="9"/>
      <color rgb="FF1E293B"/>
      <name val="Calibri"/>
      <family val="0"/>
      <charset val="1"/>
    </font>
    <font>
      <b val="true"/>
      <sz val="8.8"/>
      <color rgb="FF2453E0"/>
      <name val="Calibri"/>
      <family val="0"/>
      <charset val="1"/>
    </font>
    <font>
      <sz val="8.8"/>
      <color rgb="FF1E293B"/>
      <name val="Calibri"/>
      <family val="0"/>
      <charset val="1"/>
    </font>
    <font>
      <b val="true"/>
      <sz val="8.8"/>
      <color rgb="FFB5650A"/>
      <name val="Calibri"/>
      <family val="0"/>
      <charset val="1"/>
    </font>
    <font>
      <b val="true"/>
      <sz val="8.8"/>
      <color rgb="FF147D4B"/>
      <name val="Calibri"/>
      <family val="0"/>
      <charset val="1"/>
    </font>
    <font>
      <b val="true"/>
      <sz val="8.8"/>
      <color rgb="FFB3261E"/>
      <name val="Calibri"/>
      <family val="0"/>
      <charset val="1"/>
    </font>
    <font>
      <i val="true"/>
      <sz val="8.3"/>
      <color rgb="FF64748B"/>
      <name val="Calibri"/>
      <family val="0"/>
      <charset val="1"/>
    </font>
    <font>
      <sz val="9"/>
      <color rgb="FF2453E0"/>
      <name val="Calibri"/>
      <family val="0"/>
      <charset val="1"/>
    </font>
    <font>
      <sz val="8.3"/>
      <color rgb="FF1E293B"/>
      <name val="Calibri"/>
      <family val="0"/>
      <charset val="1"/>
    </font>
    <font>
      <b val="true"/>
      <sz val="8.5"/>
      <color rgb="FF2453E0"/>
      <name val="Calibri"/>
      <family val="0"/>
      <charset val="1"/>
    </font>
    <font>
      <b val="true"/>
      <sz val="8.3"/>
      <color rgb="FF1E293B"/>
      <name val="Calibri"/>
      <family val="0"/>
      <charset val="1"/>
    </font>
    <font>
      <b val="true"/>
      <sz val="8.5"/>
      <color rgb="FF0F172A"/>
      <name val="Calibri"/>
      <family val="0"/>
      <charset val="1"/>
    </font>
    <font>
      <b val="true"/>
      <sz val="8.3"/>
      <color rgb="FF1B4DA6"/>
      <name val="Calibri"/>
      <family val="0"/>
      <charset val="1"/>
    </font>
    <font>
      <sz val="8"/>
      <color rgb="FF1E293B"/>
      <name val="Calibri"/>
      <family val="0"/>
      <charset val="1"/>
    </font>
    <font>
      <i val="true"/>
      <sz val="8"/>
      <color rgb="FF64748B"/>
      <name val="Calibri"/>
      <family val="0"/>
      <charset val="1"/>
    </font>
    <font>
      <b val="true"/>
      <sz val="8.3"/>
      <color rgb="FF8A5A00"/>
      <name val="Calibri"/>
      <family val="0"/>
      <charset val="1"/>
    </font>
    <font>
      <b val="true"/>
      <sz val="8.3"/>
      <color rgb="FF5B3489"/>
      <name val="Calibri"/>
      <family val="0"/>
      <charset val="1"/>
    </font>
    <font>
      <b val="true"/>
      <sz val="8.3"/>
      <color rgb="FF0B6360"/>
      <name val="Calibri"/>
      <family val="0"/>
      <charset val="1"/>
    </font>
    <font>
      <b val="true"/>
      <sz val="8.3"/>
      <color rgb="FF9C2A24"/>
      <name val="Calibri"/>
      <family val="0"/>
      <charset val="1"/>
    </font>
    <font>
      <b val="true"/>
      <sz val="8.3"/>
      <color rgb="FF10663F"/>
      <name val="Calibri"/>
      <family val="0"/>
      <charset val="1"/>
    </font>
    <font>
      <b val="true"/>
      <sz val="10"/>
      <color rgb="FFB3261E"/>
      <name val="Calibri"/>
      <family val="0"/>
      <charset val="1"/>
    </font>
    <font>
      <b val="true"/>
      <sz val="10"/>
      <color rgb="FFB5650A"/>
      <name val="Calibri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FFFFF"/>
        <bgColor rgb="FFF4F6F9"/>
      </patternFill>
    </fill>
    <fill>
      <patternFill patternType="solid">
        <fgColor rgb="FFF4F6F9"/>
        <bgColor rgb="FFEAF0FE"/>
      </patternFill>
    </fill>
    <fill>
      <patternFill patternType="solid">
        <fgColor rgb="FFEAF0FE"/>
        <bgColor rgb="FFE7F6EE"/>
      </patternFill>
    </fill>
    <fill>
      <patternFill patternType="solid">
        <fgColor rgb="FF1E293B"/>
        <bgColor rgb="FF0F172A"/>
      </patternFill>
    </fill>
    <fill>
      <patternFill patternType="solid">
        <fgColor rgb="FF2453E0"/>
        <bgColor rgb="FF1B4DA6"/>
      </patternFill>
    </fill>
    <fill>
      <patternFill patternType="solid">
        <fgColor rgb="FF6B3FA0"/>
        <bgColor rgb="FF5B3489"/>
      </patternFill>
    </fill>
    <fill>
      <patternFill patternType="solid">
        <fgColor rgb="FF0E7C7B"/>
        <bgColor rgb="FF147D4B"/>
      </patternFill>
    </fill>
    <fill>
      <patternFill patternType="solid">
        <fgColor rgb="FFB5650A"/>
        <bgColor rgb="FF8A5A00"/>
      </patternFill>
    </fill>
    <fill>
      <patternFill patternType="solid">
        <fgColor rgb="FF147D4B"/>
        <bgColor rgb="FF0E7C7B"/>
      </patternFill>
    </fill>
    <fill>
      <patternFill patternType="solid">
        <fgColor rgb="FFB3261E"/>
        <bgColor rgb="FF9C2A24"/>
      </patternFill>
    </fill>
    <fill>
      <patternFill patternType="solid">
        <fgColor rgb="FFFDF1E2"/>
        <bgColor rgb="FFFBEAE9"/>
      </patternFill>
    </fill>
    <fill>
      <patternFill patternType="solid">
        <fgColor rgb="FFE7F6EE"/>
        <bgColor rgb="FFDFF3E8"/>
      </patternFill>
    </fill>
    <fill>
      <patternFill patternType="solid">
        <fgColor rgb="FFFBEAE9"/>
        <bgColor rgb="FFFDF1E2"/>
      </patternFill>
    </fill>
    <fill>
      <patternFill patternType="solid">
        <fgColor rgb="FFD9E6FB"/>
        <bgColor rgb="FFD8F0EF"/>
      </patternFill>
    </fill>
    <fill>
      <patternFill patternType="solid">
        <fgColor rgb="FFFBE8C7"/>
        <bgColor rgb="FFFBE2E0"/>
      </patternFill>
    </fill>
    <fill>
      <patternFill patternType="solid">
        <fgColor rgb="FFECE0F8"/>
        <bgColor rgb="FFD9E6FB"/>
      </patternFill>
    </fill>
    <fill>
      <patternFill patternType="solid">
        <fgColor rgb="FFD8F0EF"/>
        <bgColor rgb="FFDFF3E8"/>
      </patternFill>
    </fill>
    <fill>
      <patternFill patternType="solid">
        <fgColor rgb="FFFBE2E0"/>
        <bgColor rgb="FFFBEAE9"/>
      </patternFill>
    </fill>
    <fill>
      <patternFill patternType="solid">
        <fgColor rgb="FFDFF3E8"/>
        <bgColor rgb="FFD8F0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  <border diagonalUp="false" diagonalDown="false">
      <left style="thin">
        <color rgb="FFD9DEE6"/>
      </left>
      <right/>
      <top style="thin">
        <color rgb="FFD9DEE6"/>
      </top>
      <bottom style="thin">
        <color rgb="FFD9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6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4F6F9"/>
      <rgbColor rgb="FFFF00FF"/>
      <rgbColor rgb="FF00FFFF"/>
      <rgbColor rgb="FF800000"/>
      <rgbColor rgb="FF10663F"/>
      <rgbColor rgb="FF000080"/>
      <rgbColor rgb="FF8A5A00"/>
      <rgbColor rgb="FF800080"/>
      <rgbColor rgb="FF0E7C7B"/>
      <rgbColor rgb="FFD9E6FB"/>
      <rgbColor rgb="FF808080"/>
      <rgbColor rgb="FF9999FF"/>
      <rgbColor rgb="FFB3261E"/>
      <rgbColor rgb="FFFDF1E2"/>
      <rgbColor rgb="FFD8F0EF"/>
      <rgbColor rgb="FF660066"/>
      <rgbColor rgb="FFFF8080"/>
      <rgbColor rgb="FF1B4DA6"/>
      <rgbColor rgb="FFD9DEE6"/>
      <rgbColor rgb="FF000080"/>
      <rgbColor rgb="FFFF00FF"/>
      <rgbColor rgb="FFFFFF00"/>
      <rgbColor rgb="FF00FFFF"/>
      <rgbColor rgb="FF800080"/>
      <rgbColor rgb="FF800000"/>
      <rgbColor rgb="FF147D4B"/>
      <rgbColor rgb="FF0000FF"/>
      <rgbColor rgb="FF00CCFF"/>
      <rgbColor rgb="FFDFF3E8"/>
      <rgbColor rgb="FFE7F6EE"/>
      <rgbColor rgb="FFFBE8C7"/>
      <rgbColor rgb="FFECE0F8"/>
      <rgbColor rgb="FFFBEAE9"/>
      <rgbColor rgb="FFEAF0FE"/>
      <rgbColor rgb="FFFBE2E0"/>
      <rgbColor rgb="FF2453E0"/>
      <rgbColor rgb="FF33CCCC"/>
      <rgbColor rgb="FF99CC00"/>
      <rgbColor rgb="FFFFCC00"/>
      <rgbColor rgb="FFFF9900"/>
      <rgbColor rgb="FFB5650A"/>
      <rgbColor rgb="FF64748B"/>
      <rgbColor rgb="FF969696"/>
      <rgbColor rgb="FF0B6360"/>
      <rgbColor rgb="FF339966"/>
      <rgbColor rgb="FF0F172A"/>
      <rgbColor rgb="FF333300"/>
      <rgbColor rgb="FF9C2A24"/>
      <rgbColor rgb="FF6B3FA0"/>
      <rgbColor rgb="FF5B348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172A"/>
    <pageSetUpPr fitToPage="true"/>
  </sheetPr>
  <dimension ref="A1:D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32"/>
  </cols>
  <sheetData>
    <row r="1" customFormat="false" ht="19.5" hidden="false" customHeight="true" outlineLevel="0" collapsed="false">
      <c r="A1" s="1" t="s">
        <v>0</v>
      </c>
      <c r="B1" s="1"/>
      <c r="C1" s="1"/>
      <c r="D1" s="1"/>
    </row>
    <row r="2" customFormat="false" ht="36" hidden="false" customHeight="true" outlineLevel="0" collapsed="false">
      <c r="A2" s="2" t="s">
        <v>1</v>
      </c>
      <c r="B2" s="2"/>
      <c r="C2" s="2"/>
      <c r="D2" s="2"/>
    </row>
    <row r="3" customFormat="false" ht="30" hidden="false" customHeight="true" outlineLevel="0" collapsed="false">
      <c r="A3" s="3" t="s">
        <v>2</v>
      </c>
      <c r="B3" s="3"/>
      <c r="C3" s="3"/>
      <c r="D3" s="3"/>
    </row>
    <row r="4" customFormat="false" ht="7.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</row>
    <row r="6" customFormat="false" ht="19.5" hidden="false" customHeight="true" outlineLevel="0" collapsed="false">
      <c r="A6" s="5"/>
      <c r="B6" s="6" t="s">
        <v>4</v>
      </c>
      <c r="C6" s="7" t="s">
        <v>5</v>
      </c>
      <c r="D6" s="7"/>
    </row>
    <row r="7" customFormat="false" ht="19.5" hidden="false" customHeight="true" outlineLevel="0" collapsed="false">
      <c r="A7" s="8"/>
      <c r="B7" s="6" t="s">
        <v>6</v>
      </c>
      <c r="C7" s="9" t="s">
        <v>7</v>
      </c>
      <c r="D7" s="9"/>
    </row>
    <row r="8" customFormat="false" ht="19.5" hidden="false" customHeight="true" outlineLevel="0" collapsed="false">
      <c r="A8" s="5"/>
      <c r="B8" s="6" t="s">
        <v>8</v>
      </c>
      <c r="C8" s="7" t="s">
        <v>9</v>
      </c>
      <c r="D8" s="7"/>
    </row>
    <row r="9" customFormat="false" ht="19.5" hidden="false" customHeight="true" outlineLevel="0" collapsed="false">
      <c r="A9" s="8"/>
      <c r="B9" s="6" t="s">
        <v>10</v>
      </c>
      <c r="C9" s="9" t="s">
        <v>11</v>
      </c>
      <c r="D9" s="9"/>
    </row>
    <row r="11" customFormat="false" ht="21.75" hidden="false" customHeight="true" outlineLevel="0" collapsed="false">
      <c r="A11" s="4" t="s">
        <v>12</v>
      </c>
      <c r="B11" s="4"/>
      <c r="C11" s="4"/>
      <c r="D11" s="4"/>
    </row>
    <row r="12" customFormat="false" ht="21.75" hidden="false" customHeight="true" outlineLevel="0" collapsed="false">
      <c r="A12" s="10"/>
      <c r="B12" s="10" t="s">
        <v>13</v>
      </c>
      <c r="C12" s="10" t="s">
        <v>14</v>
      </c>
      <c r="D12" s="10" t="s">
        <v>15</v>
      </c>
    </row>
    <row r="13" customFormat="false" ht="30" hidden="false" customHeight="true" outlineLevel="0" collapsed="false">
      <c r="A13" s="11"/>
      <c r="B13" s="12" t="s">
        <v>16</v>
      </c>
      <c r="C13" s="13" t="s">
        <v>17</v>
      </c>
      <c r="D13" s="14" t="s">
        <v>18</v>
      </c>
    </row>
    <row r="14" customFormat="false" ht="30" hidden="false" customHeight="true" outlineLevel="0" collapsed="false">
      <c r="A14" s="15"/>
      <c r="B14" s="16" t="s">
        <v>19</v>
      </c>
      <c r="C14" s="17" t="s">
        <v>20</v>
      </c>
      <c r="D14" s="18" t="s">
        <v>21</v>
      </c>
    </row>
    <row r="15" customFormat="false" ht="30" hidden="false" customHeight="true" outlineLevel="0" collapsed="false">
      <c r="A15" s="19"/>
      <c r="B15" s="12" t="s">
        <v>22</v>
      </c>
      <c r="C15" s="13" t="s">
        <v>23</v>
      </c>
      <c r="D15" s="14" t="s">
        <v>24</v>
      </c>
    </row>
    <row r="16" customFormat="false" ht="30" hidden="false" customHeight="true" outlineLevel="0" collapsed="false">
      <c r="A16" s="20"/>
      <c r="B16" s="16" t="s">
        <v>25</v>
      </c>
      <c r="C16" s="17" t="s">
        <v>26</v>
      </c>
      <c r="D16" s="18" t="s">
        <v>27</v>
      </c>
    </row>
    <row r="17" customFormat="false" ht="30" hidden="false" customHeight="true" outlineLevel="0" collapsed="false">
      <c r="A17" s="21"/>
      <c r="B17" s="12" t="s">
        <v>28</v>
      </c>
      <c r="C17" s="13" t="s">
        <v>29</v>
      </c>
      <c r="D17" s="14" t="s">
        <v>30</v>
      </c>
    </row>
    <row r="18" customFormat="false" ht="30" hidden="false" customHeight="true" outlineLevel="0" collapsed="false">
      <c r="A18" s="22"/>
      <c r="B18" s="16" t="s">
        <v>31</v>
      </c>
      <c r="C18" s="17" t="s">
        <v>32</v>
      </c>
      <c r="D18" s="18" t="s">
        <v>33</v>
      </c>
    </row>
    <row r="20" customFormat="false" ht="21.75" hidden="false" customHeight="true" outlineLevel="0" collapsed="false">
      <c r="A20" s="23" t="s">
        <v>34</v>
      </c>
      <c r="B20" s="23"/>
      <c r="C20" s="23"/>
      <c r="D20" s="23"/>
    </row>
    <row r="21" customFormat="false" ht="27.75" hidden="false" customHeight="true" outlineLevel="0" collapsed="false">
      <c r="A21" s="24" t="s">
        <v>35</v>
      </c>
      <c r="B21" s="24"/>
      <c r="C21" s="24"/>
      <c r="D21" s="24"/>
    </row>
    <row r="22" customFormat="false" ht="27.75" hidden="false" customHeight="true" outlineLevel="0" collapsed="false">
      <c r="A22" s="25" t="s">
        <v>36</v>
      </c>
      <c r="B22" s="25"/>
      <c r="C22" s="25"/>
      <c r="D22" s="25"/>
    </row>
    <row r="23" customFormat="false" ht="27.75" hidden="false" customHeight="true" outlineLevel="0" collapsed="false">
      <c r="A23" s="24" t="s">
        <v>37</v>
      </c>
      <c r="B23" s="24"/>
      <c r="C23" s="24"/>
      <c r="D23" s="24"/>
    </row>
    <row r="24" customFormat="false" ht="27.75" hidden="false" customHeight="true" outlineLevel="0" collapsed="false">
      <c r="A24" s="25" t="s">
        <v>38</v>
      </c>
      <c r="B24" s="25"/>
      <c r="C24" s="25"/>
      <c r="D24" s="25"/>
    </row>
  </sheetData>
  <mergeCells count="14">
    <mergeCell ref="A1:D1"/>
    <mergeCell ref="A2:D2"/>
    <mergeCell ref="A3:D3"/>
    <mergeCell ref="A5:D5"/>
    <mergeCell ref="C6:D6"/>
    <mergeCell ref="C7:D7"/>
    <mergeCell ref="C8:D8"/>
    <mergeCell ref="C9:D9"/>
    <mergeCell ref="A11:D11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3E0"/>
    <pageSetUpPr fitToPage="true"/>
  </sheetPr>
  <dimension ref="A1:C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9.5" hidden="false" customHeight="true" outlineLevel="0" collapsed="false">
      <c r="A1" s="26" t="s">
        <v>39</v>
      </c>
      <c r="B1" s="26"/>
      <c r="C1" s="26"/>
    </row>
    <row r="2" customFormat="false" ht="36" hidden="false" customHeight="true" outlineLevel="0" collapsed="false">
      <c r="A2" s="2" t="s">
        <v>40</v>
      </c>
      <c r="B2" s="2"/>
      <c r="C2" s="2"/>
    </row>
    <row r="3" customFormat="false" ht="30" hidden="false" customHeight="true" outlineLevel="0" collapsed="false">
      <c r="A3" s="3" t="s">
        <v>41</v>
      </c>
      <c r="B3" s="3"/>
      <c r="C3" s="3"/>
    </row>
    <row r="4" customFormat="false" ht="7.5" hidden="false" customHeight="true" outlineLevel="0" collapsed="false"/>
    <row r="5" customFormat="false" ht="21.75" hidden="false" customHeight="true" outlineLevel="0" collapsed="false">
      <c r="A5" s="27" t="s">
        <v>42</v>
      </c>
      <c r="B5" s="27"/>
      <c r="C5" s="27"/>
    </row>
    <row r="6" customFormat="false" ht="21.75" hidden="false" customHeight="true" outlineLevel="0" collapsed="false">
      <c r="A6" s="10" t="s">
        <v>43</v>
      </c>
      <c r="B6" s="10" t="s">
        <v>44</v>
      </c>
      <c r="C6" s="10" t="s">
        <v>45</v>
      </c>
    </row>
    <row r="7" customFormat="false" ht="19.5" hidden="false" customHeight="true" outlineLevel="0" collapsed="false">
      <c r="A7" s="28" t="s">
        <v>46</v>
      </c>
      <c r="B7" s="29" t="n">
        <v>100000000</v>
      </c>
      <c r="C7" s="14" t="s">
        <v>47</v>
      </c>
    </row>
    <row r="8" customFormat="false" ht="19.5" hidden="false" customHeight="true" outlineLevel="0" collapsed="false">
      <c r="A8" s="30" t="s">
        <v>48</v>
      </c>
      <c r="B8" s="29" t="n">
        <v>100</v>
      </c>
      <c r="C8" s="18" t="s">
        <v>49</v>
      </c>
    </row>
    <row r="9" customFormat="false" ht="19.5" hidden="false" customHeight="true" outlineLevel="0" collapsed="false">
      <c r="A9" s="28" t="s">
        <v>50</v>
      </c>
      <c r="B9" s="29" t="n">
        <v>30</v>
      </c>
      <c r="C9" s="14" t="s">
        <v>51</v>
      </c>
    </row>
    <row r="10" customFormat="false" ht="19.5" hidden="false" customHeight="true" outlineLevel="0" collapsed="false">
      <c r="A10" s="30" t="s">
        <v>52</v>
      </c>
      <c r="B10" s="29" t="n">
        <v>15</v>
      </c>
      <c r="C10" s="18" t="s">
        <v>53</v>
      </c>
    </row>
    <row r="12" customFormat="false" ht="21.75" hidden="false" customHeight="true" outlineLevel="0" collapsed="false">
      <c r="A12" s="23" t="s">
        <v>54</v>
      </c>
      <c r="B12" s="23"/>
      <c r="C12" s="23"/>
    </row>
    <row r="13" customFormat="false" ht="21.75" hidden="false" customHeight="true" outlineLevel="0" collapsed="false">
      <c r="A13" s="10" t="s">
        <v>55</v>
      </c>
      <c r="B13" s="10" t="s">
        <v>44</v>
      </c>
      <c r="C13" s="10" t="s">
        <v>56</v>
      </c>
    </row>
    <row r="14" customFormat="false" ht="19.5" hidden="false" customHeight="true" outlineLevel="0" collapsed="false">
      <c r="A14" s="28" t="s">
        <v>57</v>
      </c>
      <c r="B14" s="31" t="n">
        <f aca="false">B8*B9</f>
        <v>3000</v>
      </c>
      <c r="C14" s="14" t="s">
        <v>58</v>
      </c>
    </row>
    <row r="15" customFormat="false" ht="19.5" hidden="false" customHeight="true" outlineLevel="0" collapsed="false">
      <c r="A15" s="30" t="s">
        <v>59</v>
      </c>
      <c r="B15" s="32" t="n">
        <f aca="false">B8/B10</f>
        <v>6.66666666666667</v>
      </c>
      <c r="C15" s="18" t="s">
        <v>60</v>
      </c>
    </row>
    <row r="16" customFormat="false" ht="19.5" hidden="false" customHeight="true" outlineLevel="0" collapsed="false">
      <c r="A16" s="28" t="s">
        <v>61</v>
      </c>
      <c r="B16" s="31" t="n">
        <f aca="false">B7/B14</f>
        <v>33333.3333333333</v>
      </c>
      <c r="C16" s="14" t="s">
        <v>62</v>
      </c>
    </row>
    <row r="17" customFormat="false" ht="19.5" hidden="false" customHeight="true" outlineLevel="0" collapsed="false">
      <c r="A17" s="30" t="s">
        <v>63</v>
      </c>
      <c r="B17" s="32" t="n">
        <f aca="false">B7/B10</f>
        <v>6666666.66666667</v>
      </c>
      <c r="C17" s="18" t="s">
        <v>64</v>
      </c>
    </row>
    <row r="19" customFormat="false" ht="21.75" hidden="false" customHeight="true" outlineLevel="0" collapsed="false">
      <c r="A19" s="27" t="s">
        <v>65</v>
      </c>
      <c r="B19" s="27"/>
      <c r="C19" s="27"/>
    </row>
    <row r="20" customFormat="false" ht="21.75" hidden="false" customHeight="true" outlineLevel="0" collapsed="false">
      <c r="A20" s="10" t="s">
        <v>66</v>
      </c>
      <c r="B20" s="10" t="s">
        <v>67</v>
      </c>
      <c r="C20" s="10" t="s">
        <v>68</v>
      </c>
    </row>
    <row r="21" customFormat="false" ht="45.75" hidden="false" customHeight="true" outlineLevel="0" collapsed="false">
      <c r="A21" s="33" t="s">
        <v>69</v>
      </c>
      <c r="B21" s="34" t="s">
        <v>70</v>
      </c>
      <c r="C21" s="35" t="s">
        <v>71</v>
      </c>
    </row>
    <row r="22" customFormat="false" ht="45.75" hidden="false" customHeight="true" outlineLevel="0" collapsed="false">
      <c r="A22" s="36" t="s">
        <v>72</v>
      </c>
      <c r="B22" s="37" t="s">
        <v>73</v>
      </c>
      <c r="C22" s="38" t="s">
        <v>74</v>
      </c>
    </row>
    <row r="23" customFormat="false" ht="45.75" hidden="false" customHeight="true" outlineLevel="0" collapsed="false">
      <c r="A23" s="33" t="s">
        <v>75</v>
      </c>
      <c r="B23" s="34" t="s">
        <v>76</v>
      </c>
      <c r="C23" s="35" t="s">
        <v>77</v>
      </c>
    </row>
    <row r="24" customFormat="false" ht="45.75" hidden="false" customHeight="true" outlineLevel="0" collapsed="false">
      <c r="A24" s="36" t="s">
        <v>78</v>
      </c>
      <c r="B24" s="37" t="s">
        <v>79</v>
      </c>
      <c r="C24" s="38" t="s">
        <v>80</v>
      </c>
    </row>
    <row r="25" customFormat="false" ht="45.75" hidden="false" customHeight="true" outlineLevel="0" collapsed="false">
      <c r="A25" s="33" t="s">
        <v>81</v>
      </c>
      <c r="B25" s="34" t="s">
        <v>79</v>
      </c>
      <c r="C25" s="35" t="s">
        <v>82</v>
      </c>
    </row>
    <row r="26" customFormat="false" ht="45.75" hidden="false" customHeight="true" outlineLevel="0" collapsed="false">
      <c r="A26" s="36" t="s">
        <v>83</v>
      </c>
      <c r="B26" s="37" t="s">
        <v>79</v>
      </c>
      <c r="C26" s="38" t="s">
        <v>84</v>
      </c>
    </row>
    <row r="28" customFormat="false" ht="21.75" hidden="false" customHeight="true" outlineLevel="0" collapsed="false">
      <c r="A28" s="23" t="s">
        <v>85</v>
      </c>
      <c r="B28" s="23"/>
      <c r="C28" s="23"/>
    </row>
    <row r="29" customFormat="false" ht="21.75" hidden="false" customHeight="true" outlineLevel="0" collapsed="false">
      <c r="A29" s="10" t="s">
        <v>86</v>
      </c>
      <c r="B29" s="10"/>
      <c r="C29" s="10" t="s">
        <v>87</v>
      </c>
    </row>
    <row r="30" customFormat="false" ht="30" hidden="false" customHeight="true" outlineLevel="0" collapsed="false">
      <c r="A30" s="33" t="s">
        <v>88</v>
      </c>
      <c r="B30" s="39" t="s">
        <v>89</v>
      </c>
      <c r="C30" s="39"/>
    </row>
    <row r="31" customFormat="false" ht="30" hidden="false" customHeight="true" outlineLevel="0" collapsed="false">
      <c r="A31" s="36" t="s">
        <v>90</v>
      </c>
      <c r="B31" s="40" t="s">
        <v>91</v>
      </c>
      <c r="C31" s="40"/>
    </row>
    <row r="32" customFormat="false" ht="30" hidden="false" customHeight="true" outlineLevel="0" collapsed="false">
      <c r="A32" s="33" t="s">
        <v>92</v>
      </c>
      <c r="B32" s="39" t="s">
        <v>93</v>
      </c>
      <c r="C32" s="39"/>
    </row>
    <row r="33" customFormat="false" ht="30" hidden="false" customHeight="true" outlineLevel="0" collapsed="false">
      <c r="A33" s="36" t="s">
        <v>94</v>
      </c>
      <c r="B33" s="40" t="s">
        <v>95</v>
      </c>
      <c r="C33" s="40"/>
    </row>
    <row r="34" customFormat="false" ht="30" hidden="false" customHeight="true" outlineLevel="0" collapsed="false">
      <c r="A34" s="33" t="s">
        <v>96</v>
      </c>
      <c r="B34" s="39" t="s">
        <v>97</v>
      </c>
      <c r="C34" s="39"/>
    </row>
  </sheetData>
  <mergeCells count="12">
    <mergeCell ref="A1:C1"/>
    <mergeCell ref="A2:C2"/>
    <mergeCell ref="A3:C3"/>
    <mergeCell ref="A5:C5"/>
    <mergeCell ref="A12:C12"/>
    <mergeCell ref="A19:C19"/>
    <mergeCell ref="A28:C28"/>
    <mergeCell ref="B30:C30"/>
    <mergeCell ref="B31:C31"/>
    <mergeCell ref="B32:C32"/>
    <mergeCell ref="B33:C33"/>
    <mergeCell ref="B34:C3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453E0"/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5" min="5" style="0" width="28"/>
    <col collapsed="false" customWidth="true" hidden="false" outlineLevel="0" max="6" min="6" style="0" width="24"/>
    <col collapsed="false" customWidth="true" hidden="false" outlineLevel="0" max="8" min="7" style="0" width="16"/>
  </cols>
  <sheetData>
    <row r="1" customFormat="false" ht="19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</row>
    <row r="2" customFormat="false" ht="36" hidden="false" customHeight="true" outlineLevel="0" collapsed="false">
      <c r="A2" s="2" t="s">
        <v>98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99</v>
      </c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21.75" hidden="false" customHeight="true" outlineLevel="0" collapsed="false">
      <c r="A5" s="27" t="s">
        <v>100</v>
      </c>
      <c r="B5" s="27"/>
      <c r="C5" s="27"/>
      <c r="D5" s="27"/>
      <c r="E5" s="27"/>
      <c r="F5" s="27"/>
      <c r="G5" s="27"/>
      <c r="H5" s="27"/>
    </row>
    <row r="6" customFormat="false" ht="24" hidden="false" customHeight="true" outlineLevel="0" collapsed="false">
      <c r="A6" s="10" t="s">
        <v>101</v>
      </c>
      <c r="B6" s="10" t="s">
        <v>102</v>
      </c>
      <c r="C6" s="10" t="s">
        <v>103</v>
      </c>
      <c r="D6" s="10" t="s">
        <v>67</v>
      </c>
      <c r="E6" s="10" t="s">
        <v>104</v>
      </c>
      <c r="F6" s="10" t="s">
        <v>105</v>
      </c>
      <c r="G6" s="10" t="s">
        <v>106</v>
      </c>
      <c r="H6" s="10" t="s">
        <v>107</v>
      </c>
    </row>
    <row r="7" customFormat="false" ht="30" hidden="false" customHeight="true" outlineLevel="0" collapsed="false">
      <c r="A7" s="41" t="n">
        <v>1</v>
      </c>
      <c r="B7" s="42" t="s">
        <v>108</v>
      </c>
      <c r="C7" s="35" t="s">
        <v>109</v>
      </c>
      <c r="D7" s="34" t="n">
        <v>7</v>
      </c>
      <c r="E7" s="35" t="s">
        <v>110</v>
      </c>
      <c r="F7" s="35" t="s">
        <v>111</v>
      </c>
      <c r="G7" s="43" t="s">
        <v>112</v>
      </c>
      <c r="H7" s="44" t="n">
        <v>500000</v>
      </c>
    </row>
    <row r="8" customFormat="false" ht="30" hidden="false" customHeight="true" outlineLevel="0" collapsed="false">
      <c r="A8" s="45" t="n">
        <v>2</v>
      </c>
      <c r="B8" s="46" t="s">
        <v>113</v>
      </c>
      <c r="C8" s="38" t="s">
        <v>114</v>
      </c>
      <c r="D8" s="37" t="n">
        <v>7</v>
      </c>
      <c r="E8" s="38" t="s">
        <v>115</v>
      </c>
      <c r="F8" s="38" t="s">
        <v>116</v>
      </c>
      <c r="G8" s="43" t="s">
        <v>112</v>
      </c>
      <c r="H8" s="47" t="n">
        <v>600000</v>
      </c>
    </row>
    <row r="9" customFormat="false" ht="30" hidden="false" customHeight="true" outlineLevel="0" collapsed="false">
      <c r="A9" s="41" t="n">
        <v>3</v>
      </c>
      <c r="B9" s="42" t="s">
        <v>117</v>
      </c>
      <c r="C9" s="35" t="s">
        <v>118</v>
      </c>
      <c r="D9" s="34" t="n">
        <v>7</v>
      </c>
      <c r="E9" s="35" t="s">
        <v>119</v>
      </c>
      <c r="F9" s="35" t="s">
        <v>120</v>
      </c>
      <c r="G9" s="43" t="s">
        <v>112</v>
      </c>
      <c r="H9" s="44" t="n">
        <v>450000</v>
      </c>
    </row>
    <row r="10" customFormat="false" ht="30" hidden="false" customHeight="true" outlineLevel="0" collapsed="false">
      <c r="A10" s="45" t="n">
        <v>4</v>
      </c>
      <c r="B10" s="46" t="s">
        <v>121</v>
      </c>
      <c r="C10" s="38" t="s">
        <v>122</v>
      </c>
      <c r="D10" s="37" t="n">
        <v>6</v>
      </c>
      <c r="E10" s="38" t="s">
        <v>123</v>
      </c>
      <c r="F10" s="38" t="s">
        <v>124</v>
      </c>
      <c r="G10" s="48" t="s">
        <v>125</v>
      </c>
      <c r="H10" s="47" t="n">
        <v>350000</v>
      </c>
    </row>
    <row r="11" customFormat="false" ht="30" hidden="false" customHeight="true" outlineLevel="0" collapsed="false">
      <c r="A11" s="41" t="n">
        <v>5</v>
      </c>
      <c r="B11" s="42" t="s">
        <v>126</v>
      </c>
      <c r="C11" s="35" t="s">
        <v>127</v>
      </c>
      <c r="D11" s="34" t="n">
        <v>6</v>
      </c>
      <c r="E11" s="35" t="s">
        <v>128</v>
      </c>
      <c r="F11" s="35" t="s">
        <v>129</v>
      </c>
      <c r="G11" s="48" t="s">
        <v>125</v>
      </c>
      <c r="H11" s="44" t="n">
        <v>300000</v>
      </c>
    </row>
    <row r="12" customFormat="false" ht="30" hidden="false" customHeight="true" outlineLevel="0" collapsed="false">
      <c r="A12" s="45" t="n">
        <v>6</v>
      </c>
      <c r="B12" s="46" t="s">
        <v>130</v>
      </c>
      <c r="C12" s="38" t="s">
        <v>131</v>
      </c>
      <c r="D12" s="37" t="n">
        <v>6</v>
      </c>
      <c r="E12" s="38" t="s">
        <v>132</v>
      </c>
      <c r="F12" s="38" t="s">
        <v>133</v>
      </c>
      <c r="G12" s="49" t="s">
        <v>134</v>
      </c>
      <c r="H12" s="47" t="n">
        <v>300000</v>
      </c>
    </row>
    <row r="13" customFormat="false" ht="30" hidden="false" customHeight="true" outlineLevel="0" collapsed="false">
      <c r="A13" s="41" t="n">
        <v>7</v>
      </c>
      <c r="B13" s="42" t="s">
        <v>135</v>
      </c>
      <c r="C13" s="35" t="s">
        <v>136</v>
      </c>
      <c r="D13" s="34" t="n">
        <v>7</v>
      </c>
      <c r="E13" s="35" t="s">
        <v>137</v>
      </c>
      <c r="F13" s="35" t="s">
        <v>138</v>
      </c>
      <c r="G13" s="43" t="s">
        <v>112</v>
      </c>
      <c r="H13" s="44" t="n">
        <v>500000</v>
      </c>
    </row>
    <row r="14" customFormat="false" ht="30" hidden="false" customHeight="true" outlineLevel="0" collapsed="false">
      <c r="A14" s="45" t="n">
        <v>8</v>
      </c>
      <c r="B14" s="46" t="s">
        <v>139</v>
      </c>
      <c r="C14" s="38" t="s">
        <v>140</v>
      </c>
      <c r="D14" s="37" t="n">
        <v>7</v>
      </c>
      <c r="E14" s="38" t="s">
        <v>141</v>
      </c>
      <c r="F14" s="38" t="s">
        <v>142</v>
      </c>
      <c r="G14" s="49" t="s">
        <v>134</v>
      </c>
      <c r="H14" s="47" t="n">
        <v>400000</v>
      </c>
    </row>
    <row r="15" customFormat="false" ht="30" hidden="false" customHeight="true" outlineLevel="0" collapsed="false">
      <c r="A15" s="41" t="n">
        <v>9</v>
      </c>
      <c r="B15" s="42" t="s">
        <v>143</v>
      </c>
      <c r="C15" s="35" t="s">
        <v>144</v>
      </c>
      <c r="D15" s="34" t="n">
        <v>6</v>
      </c>
      <c r="E15" s="35" t="s">
        <v>145</v>
      </c>
      <c r="F15" s="35" t="s">
        <v>146</v>
      </c>
      <c r="G15" s="43" t="s">
        <v>112</v>
      </c>
      <c r="H15" s="44" t="n">
        <v>450000</v>
      </c>
    </row>
    <row r="16" customFormat="false" ht="30" hidden="false" customHeight="true" outlineLevel="0" collapsed="false">
      <c r="A16" s="45" t="n">
        <v>10</v>
      </c>
      <c r="B16" s="46" t="s">
        <v>147</v>
      </c>
      <c r="C16" s="38" t="s">
        <v>148</v>
      </c>
      <c r="D16" s="37" t="n">
        <v>6</v>
      </c>
      <c r="E16" s="38" t="s">
        <v>149</v>
      </c>
      <c r="F16" s="38" t="s">
        <v>150</v>
      </c>
      <c r="G16" s="50" t="s">
        <v>151</v>
      </c>
      <c r="H16" s="47" t="n">
        <v>300000</v>
      </c>
    </row>
    <row r="17" customFormat="false" ht="30" hidden="false" customHeight="true" outlineLevel="0" collapsed="false">
      <c r="A17" s="41" t="n">
        <v>11</v>
      </c>
      <c r="B17" s="42" t="s">
        <v>152</v>
      </c>
      <c r="C17" s="35" t="s">
        <v>153</v>
      </c>
      <c r="D17" s="34" t="n">
        <v>7</v>
      </c>
      <c r="E17" s="35" t="s">
        <v>154</v>
      </c>
      <c r="F17" s="35" t="s">
        <v>155</v>
      </c>
      <c r="G17" s="48" t="s">
        <v>125</v>
      </c>
      <c r="H17" s="44" t="n">
        <v>350000</v>
      </c>
    </row>
    <row r="18" customFormat="false" ht="30" hidden="false" customHeight="true" outlineLevel="0" collapsed="false">
      <c r="A18" s="45" t="n">
        <v>12</v>
      </c>
      <c r="B18" s="46" t="s">
        <v>156</v>
      </c>
      <c r="C18" s="38" t="s">
        <v>157</v>
      </c>
      <c r="D18" s="37" t="n">
        <v>6</v>
      </c>
      <c r="E18" s="38" t="s">
        <v>158</v>
      </c>
      <c r="F18" s="38" t="s">
        <v>159</v>
      </c>
      <c r="G18" s="48" t="s">
        <v>125</v>
      </c>
      <c r="H18" s="47" t="n">
        <v>250000</v>
      </c>
    </row>
    <row r="19" customFormat="false" ht="30" hidden="false" customHeight="true" outlineLevel="0" collapsed="false">
      <c r="A19" s="41" t="n">
        <v>13</v>
      </c>
      <c r="B19" s="42" t="s">
        <v>160</v>
      </c>
      <c r="C19" s="35" t="s">
        <v>161</v>
      </c>
      <c r="D19" s="34" t="n">
        <v>6</v>
      </c>
      <c r="E19" s="35" t="s">
        <v>162</v>
      </c>
      <c r="F19" s="35" t="s">
        <v>163</v>
      </c>
      <c r="G19" s="49" t="s">
        <v>134</v>
      </c>
      <c r="H19" s="44" t="n">
        <v>250000</v>
      </c>
    </row>
    <row r="20" customFormat="false" ht="30" hidden="false" customHeight="true" outlineLevel="0" collapsed="false">
      <c r="A20" s="45" t="n">
        <v>14</v>
      </c>
      <c r="B20" s="46" t="s">
        <v>164</v>
      </c>
      <c r="C20" s="38" t="s">
        <v>165</v>
      </c>
      <c r="D20" s="37" t="n">
        <v>6</v>
      </c>
      <c r="E20" s="38" t="s">
        <v>166</v>
      </c>
      <c r="F20" s="38" t="s">
        <v>167</v>
      </c>
      <c r="G20" s="48" t="s">
        <v>125</v>
      </c>
      <c r="H20" s="47" t="n">
        <v>300000</v>
      </c>
    </row>
    <row r="21" customFormat="false" ht="30" hidden="false" customHeight="true" outlineLevel="0" collapsed="false">
      <c r="A21" s="41" t="n">
        <v>15</v>
      </c>
      <c r="B21" s="42" t="s">
        <v>168</v>
      </c>
      <c r="C21" s="35" t="s">
        <v>169</v>
      </c>
      <c r="D21" s="34" t="n">
        <v>5</v>
      </c>
      <c r="E21" s="35" t="s">
        <v>170</v>
      </c>
      <c r="F21" s="35" t="s">
        <v>171</v>
      </c>
      <c r="G21" s="50" t="s">
        <v>151</v>
      </c>
      <c r="H21" s="44" t="n">
        <v>200000</v>
      </c>
    </row>
    <row r="22" customFormat="false" ht="24" hidden="false" customHeight="true" outlineLevel="0" collapsed="false">
      <c r="A22" s="51" t="s">
        <v>172</v>
      </c>
      <c r="B22" s="51"/>
      <c r="C22" s="51"/>
      <c r="D22" s="52" t="n">
        <f aca="false">SUM(D7:D21)</f>
        <v>95</v>
      </c>
      <c r="E22" s="53" t="s">
        <v>173</v>
      </c>
      <c r="F22" s="53"/>
      <c r="G22" s="54" t="s">
        <v>174</v>
      </c>
      <c r="H22" s="55" t="n">
        <f aca="false">SUM(H7:H21)</f>
        <v>5500000</v>
      </c>
    </row>
    <row r="24" customFormat="false" ht="24" hidden="false" customHeight="true" outlineLevel="0" collapsed="false">
      <c r="A24" s="56" t="s">
        <v>175</v>
      </c>
      <c r="B24" s="56"/>
      <c r="C24" s="56"/>
      <c r="D24" s="56"/>
      <c r="E24" s="56"/>
      <c r="F24" s="56"/>
      <c r="G24" s="56"/>
      <c r="H24" s="56"/>
    </row>
  </sheetData>
  <mergeCells count="7">
    <mergeCell ref="A1:H1"/>
    <mergeCell ref="A2:H2"/>
    <mergeCell ref="A3:H3"/>
    <mergeCell ref="A5:H5"/>
    <mergeCell ref="A22:C22"/>
    <mergeCell ref="E22:F22"/>
    <mergeCell ref="A24:H24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3FA0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30"/>
    <col collapsed="false" customWidth="true" hidden="false" outlineLevel="0" max="4" min="4" style="0" width="28"/>
    <col collapsed="false" customWidth="true" hidden="false" outlineLevel="0" max="5" min="5" style="0" width="34"/>
  </cols>
  <sheetData>
    <row r="1" customFormat="false" ht="19.5" hidden="false" customHeight="true" outlineLevel="0" collapsed="false">
      <c r="A1" s="57" t="s">
        <v>176</v>
      </c>
      <c r="B1" s="57"/>
      <c r="C1" s="57"/>
      <c r="D1" s="57"/>
      <c r="E1" s="57"/>
    </row>
    <row r="2" customFormat="false" ht="36" hidden="false" customHeight="true" outlineLevel="0" collapsed="false">
      <c r="A2" s="2" t="s">
        <v>177</v>
      </c>
      <c r="B2" s="2"/>
      <c r="C2" s="2"/>
      <c r="D2" s="2"/>
      <c r="E2" s="2"/>
    </row>
    <row r="3" customFormat="false" ht="30" hidden="false" customHeight="true" outlineLevel="0" collapsed="false">
      <c r="A3" s="3" t="s">
        <v>178</v>
      </c>
      <c r="B3" s="3"/>
      <c r="C3" s="3"/>
      <c r="D3" s="3"/>
      <c r="E3" s="3"/>
    </row>
    <row r="4" customFormat="false" ht="7.5" hidden="false" customHeight="true" outlineLevel="0" collapsed="false"/>
    <row r="5" customFormat="false" ht="21.75" hidden="false" customHeight="true" outlineLevel="0" collapsed="false">
      <c r="A5" s="58" t="s">
        <v>179</v>
      </c>
      <c r="B5" s="58"/>
      <c r="C5" s="58"/>
      <c r="D5" s="58"/>
      <c r="E5" s="58"/>
    </row>
    <row r="6" customFormat="false" ht="24" hidden="false" customHeight="true" outlineLevel="0" collapsed="false">
      <c r="A6" s="10" t="s">
        <v>86</v>
      </c>
      <c r="B6" s="10" t="s">
        <v>87</v>
      </c>
      <c r="C6" s="10" t="s">
        <v>180</v>
      </c>
      <c r="D6" s="10" t="s">
        <v>181</v>
      </c>
      <c r="E6" s="10" t="s">
        <v>182</v>
      </c>
    </row>
    <row r="7" customFormat="false" ht="87.75" hidden="false" customHeight="true" outlineLevel="0" collapsed="false">
      <c r="A7" s="59" t="s">
        <v>183</v>
      </c>
      <c r="B7" s="60" t="s">
        <v>184</v>
      </c>
      <c r="C7" s="60" t="s">
        <v>185</v>
      </c>
      <c r="D7" s="60" t="s">
        <v>186</v>
      </c>
      <c r="E7" s="61" t="s">
        <v>187</v>
      </c>
    </row>
    <row r="8" customFormat="false" ht="87.75" hidden="false" customHeight="true" outlineLevel="0" collapsed="false">
      <c r="A8" s="62" t="s">
        <v>188</v>
      </c>
      <c r="B8" s="63" t="s">
        <v>189</v>
      </c>
      <c r="C8" s="63" t="s">
        <v>190</v>
      </c>
      <c r="D8" s="63" t="s">
        <v>191</v>
      </c>
      <c r="E8" s="64" t="s">
        <v>192</v>
      </c>
    </row>
    <row r="9" customFormat="false" ht="87.75" hidden="false" customHeight="true" outlineLevel="0" collapsed="false">
      <c r="A9" s="59" t="s">
        <v>193</v>
      </c>
      <c r="B9" s="60" t="s">
        <v>194</v>
      </c>
      <c r="C9" s="60" t="s">
        <v>195</v>
      </c>
      <c r="D9" s="60" t="s">
        <v>196</v>
      </c>
      <c r="E9" s="61" t="s">
        <v>197</v>
      </c>
    </row>
    <row r="10" customFormat="false" ht="87.75" hidden="false" customHeight="true" outlineLevel="0" collapsed="false">
      <c r="A10" s="62" t="s">
        <v>198</v>
      </c>
      <c r="B10" s="63" t="s">
        <v>199</v>
      </c>
      <c r="C10" s="63" t="s">
        <v>200</v>
      </c>
      <c r="D10" s="63" t="s">
        <v>201</v>
      </c>
      <c r="E10" s="64" t="s">
        <v>202</v>
      </c>
    </row>
    <row r="11" customFormat="false" ht="87.75" hidden="false" customHeight="true" outlineLevel="0" collapsed="false">
      <c r="A11" s="59" t="s">
        <v>203</v>
      </c>
      <c r="B11" s="60" t="s">
        <v>204</v>
      </c>
      <c r="C11" s="60" t="s">
        <v>205</v>
      </c>
      <c r="D11" s="60" t="s">
        <v>206</v>
      </c>
      <c r="E11" s="61" t="s">
        <v>207</v>
      </c>
    </row>
    <row r="12" customFormat="false" ht="87.75" hidden="false" customHeight="true" outlineLevel="0" collapsed="false">
      <c r="A12" s="62" t="s">
        <v>208</v>
      </c>
      <c r="B12" s="63" t="s">
        <v>209</v>
      </c>
      <c r="C12" s="63" t="s">
        <v>210</v>
      </c>
      <c r="D12" s="63" t="s">
        <v>211</v>
      </c>
      <c r="E12" s="64" t="s">
        <v>212</v>
      </c>
    </row>
    <row r="14" customFormat="false" ht="21.75" hidden="false" customHeight="true" outlineLevel="0" collapsed="false">
      <c r="A14" s="23" t="s">
        <v>213</v>
      </c>
      <c r="B14" s="23"/>
      <c r="C14" s="23"/>
      <c r="D14" s="23"/>
      <c r="E14" s="23"/>
    </row>
    <row r="15" customFormat="false" ht="21.75" hidden="false" customHeight="true" outlineLevel="0" collapsed="false">
      <c r="A15" s="10" t="s">
        <v>86</v>
      </c>
      <c r="B15" s="10" t="s">
        <v>214</v>
      </c>
      <c r="C15" s="10" t="s">
        <v>215</v>
      </c>
      <c r="D15" s="65" t="s">
        <v>216</v>
      </c>
      <c r="E15" s="65"/>
    </row>
    <row r="16" customFormat="false" ht="24" hidden="false" customHeight="true" outlineLevel="0" collapsed="false">
      <c r="A16" s="59" t="s">
        <v>217</v>
      </c>
      <c r="B16" s="49" t="s">
        <v>218</v>
      </c>
      <c r="C16" s="66" t="s">
        <v>219</v>
      </c>
      <c r="D16" s="39" t="s">
        <v>220</v>
      </c>
      <c r="E16" s="39"/>
    </row>
    <row r="17" customFormat="false" ht="24" hidden="false" customHeight="true" outlineLevel="0" collapsed="false">
      <c r="A17" s="62" t="s">
        <v>221</v>
      </c>
      <c r="B17" s="43" t="s">
        <v>222</v>
      </c>
      <c r="C17" s="48" t="s">
        <v>223</v>
      </c>
      <c r="D17" s="40" t="s">
        <v>224</v>
      </c>
      <c r="E17" s="40"/>
    </row>
    <row r="18" customFormat="false" ht="24" hidden="false" customHeight="true" outlineLevel="0" collapsed="false">
      <c r="A18" s="59" t="s">
        <v>225</v>
      </c>
      <c r="B18" s="48" t="s">
        <v>223</v>
      </c>
      <c r="C18" s="49" t="s">
        <v>218</v>
      </c>
      <c r="D18" s="39" t="s">
        <v>226</v>
      </c>
      <c r="E18" s="39"/>
    </row>
    <row r="19" customFormat="false" ht="24" hidden="false" customHeight="true" outlineLevel="0" collapsed="false">
      <c r="A19" s="62" t="s">
        <v>227</v>
      </c>
      <c r="B19" s="49" t="s">
        <v>218</v>
      </c>
      <c r="C19" s="48" t="s">
        <v>223</v>
      </c>
      <c r="D19" s="40" t="s">
        <v>228</v>
      </c>
      <c r="E19" s="40"/>
    </row>
    <row r="20" customFormat="false" ht="24" hidden="false" customHeight="true" outlineLevel="0" collapsed="false">
      <c r="A20" s="59" t="s">
        <v>229</v>
      </c>
      <c r="B20" s="66" t="s">
        <v>219</v>
      </c>
      <c r="C20" s="43" t="s">
        <v>222</v>
      </c>
      <c r="D20" s="39" t="s">
        <v>230</v>
      </c>
      <c r="E20" s="39"/>
    </row>
    <row r="21" customFormat="false" ht="24" hidden="false" customHeight="true" outlineLevel="0" collapsed="false">
      <c r="A21" s="62" t="s">
        <v>231</v>
      </c>
      <c r="B21" s="43" t="s">
        <v>222</v>
      </c>
      <c r="C21" s="49" t="s">
        <v>218</v>
      </c>
      <c r="D21" s="40" t="s">
        <v>232</v>
      </c>
      <c r="E21" s="40"/>
    </row>
  </sheetData>
  <mergeCells count="12">
    <mergeCell ref="A1:E1"/>
    <mergeCell ref="A2:E2"/>
    <mergeCell ref="A3:E3"/>
    <mergeCell ref="A5:E5"/>
    <mergeCell ref="A14:E14"/>
    <mergeCell ref="D15:E15"/>
    <mergeCell ref="D16:E16"/>
    <mergeCell ref="D17:E17"/>
    <mergeCell ref="D18:E18"/>
    <mergeCell ref="D19:E19"/>
    <mergeCell ref="D20:E20"/>
    <mergeCell ref="D21:E2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D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8"/>
  </cols>
  <sheetData>
    <row r="1" customFormat="false" ht="19.5" hidden="false" customHeight="true" outlineLevel="0" collapsed="false">
      <c r="A1" s="67" t="s">
        <v>233</v>
      </c>
      <c r="B1" s="67"/>
      <c r="C1" s="67"/>
      <c r="D1" s="67"/>
    </row>
    <row r="2" customFormat="false" ht="36" hidden="false" customHeight="true" outlineLevel="0" collapsed="false">
      <c r="A2" s="2" t="s">
        <v>234</v>
      </c>
      <c r="B2" s="2"/>
      <c r="C2" s="2"/>
      <c r="D2" s="2"/>
    </row>
    <row r="3" customFormat="false" ht="30" hidden="false" customHeight="true" outlineLevel="0" collapsed="false">
      <c r="A3" s="3" t="s">
        <v>235</v>
      </c>
      <c r="B3" s="3"/>
      <c r="C3" s="3"/>
      <c r="D3" s="3"/>
    </row>
    <row r="4" customFormat="false" ht="7.5" hidden="false" customHeight="true" outlineLevel="0" collapsed="false"/>
    <row r="5" customFormat="false" ht="21.75" hidden="false" customHeight="true" outlineLevel="0" collapsed="false">
      <c r="A5" s="68" t="s">
        <v>236</v>
      </c>
      <c r="B5" s="68"/>
      <c r="C5" s="68"/>
      <c r="D5" s="68"/>
    </row>
    <row r="6" customFormat="false" ht="21.75" hidden="false" customHeight="true" outlineLevel="0" collapsed="false">
      <c r="A6" s="10" t="s">
        <v>237</v>
      </c>
      <c r="B6" s="10" t="s">
        <v>238</v>
      </c>
      <c r="C6" s="10" t="s">
        <v>239</v>
      </c>
      <c r="D6" s="10" t="s">
        <v>240</v>
      </c>
    </row>
    <row r="7" customFormat="false" ht="30" hidden="false" customHeight="true" outlineLevel="0" collapsed="false">
      <c r="A7" s="69" t="s">
        <v>241</v>
      </c>
      <c r="B7" s="35" t="s">
        <v>242</v>
      </c>
      <c r="C7" s="70" t="s">
        <v>243</v>
      </c>
      <c r="D7" s="61" t="s">
        <v>244</v>
      </c>
    </row>
    <row r="8" customFormat="false" ht="30" hidden="false" customHeight="true" outlineLevel="0" collapsed="false">
      <c r="A8" s="71" t="s">
        <v>245</v>
      </c>
      <c r="B8" s="38" t="s">
        <v>246</v>
      </c>
      <c r="C8" s="72" t="s">
        <v>221</v>
      </c>
      <c r="D8" s="64" t="s">
        <v>247</v>
      </c>
    </row>
    <row r="9" customFormat="false" ht="30" hidden="false" customHeight="true" outlineLevel="0" collapsed="false">
      <c r="A9" s="69" t="s">
        <v>248</v>
      </c>
      <c r="B9" s="35" t="s">
        <v>249</v>
      </c>
      <c r="C9" s="70" t="s">
        <v>250</v>
      </c>
      <c r="D9" s="61" t="s">
        <v>251</v>
      </c>
    </row>
    <row r="10" customFormat="false" ht="30" hidden="false" customHeight="true" outlineLevel="0" collapsed="false">
      <c r="A10" s="71" t="s">
        <v>252</v>
      </c>
      <c r="B10" s="38" t="s">
        <v>253</v>
      </c>
      <c r="C10" s="72" t="s">
        <v>254</v>
      </c>
      <c r="D10" s="64" t="s">
        <v>255</v>
      </c>
    </row>
    <row r="11" customFormat="false" ht="30" hidden="false" customHeight="true" outlineLevel="0" collapsed="false">
      <c r="A11" s="69" t="s">
        <v>256</v>
      </c>
      <c r="B11" s="35" t="s">
        <v>257</v>
      </c>
      <c r="C11" s="70" t="s">
        <v>258</v>
      </c>
      <c r="D11" s="61" t="s">
        <v>259</v>
      </c>
    </row>
    <row r="13" customFormat="false" ht="21.75" hidden="false" customHeight="true" outlineLevel="0" collapsed="false">
      <c r="A13" s="23" t="s">
        <v>260</v>
      </c>
      <c r="B13" s="23"/>
      <c r="C13" s="23"/>
      <c r="D13" s="23"/>
    </row>
    <row r="14" customFormat="false" ht="21.75" hidden="false" customHeight="true" outlineLevel="0" collapsed="false">
      <c r="A14" s="10" t="s">
        <v>101</v>
      </c>
      <c r="B14" s="10" t="s">
        <v>261</v>
      </c>
      <c r="C14" s="10" t="s">
        <v>86</v>
      </c>
      <c r="D14" s="10" t="s">
        <v>262</v>
      </c>
    </row>
    <row r="15" customFormat="false" ht="25.5" hidden="false" customHeight="true" outlineLevel="0" collapsed="false">
      <c r="A15" s="41" t="n">
        <v>1</v>
      </c>
      <c r="B15" s="35" t="s">
        <v>263</v>
      </c>
      <c r="C15" s="73" t="s">
        <v>264</v>
      </c>
      <c r="D15" s="61" t="s">
        <v>265</v>
      </c>
    </row>
    <row r="16" customFormat="false" ht="25.5" hidden="false" customHeight="true" outlineLevel="0" collapsed="false">
      <c r="A16" s="45" t="n">
        <v>2</v>
      </c>
      <c r="B16" s="38" t="s">
        <v>266</v>
      </c>
      <c r="C16" s="74" t="s">
        <v>221</v>
      </c>
      <c r="D16" s="64" t="s">
        <v>267</v>
      </c>
    </row>
    <row r="17" customFormat="false" ht="25.5" hidden="false" customHeight="true" outlineLevel="0" collapsed="false">
      <c r="A17" s="41" t="n">
        <v>3</v>
      </c>
      <c r="B17" s="35" t="s">
        <v>268</v>
      </c>
      <c r="C17" s="73" t="s">
        <v>221</v>
      </c>
      <c r="D17" s="61" t="s">
        <v>269</v>
      </c>
    </row>
    <row r="18" customFormat="false" ht="25.5" hidden="false" customHeight="true" outlineLevel="0" collapsed="false">
      <c r="A18" s="45" t="n">
        <v>4</v>
      </c>
      <c r="B18" s="38" t="s">
        <v>270</v>
      </c>
      <c r="C18" s="74" t="s">
        <v>225</v>
      </c>
      <c r="D18" s="64" t="s">
        <v>271</v>
      </c>
    </row>
    <row r="19" customFormat="false" ht="25.5" hidden="false" customHeight="true" outlineLevel="0" collapsed="false">
      <c r="A19" s="41" t="n">
        <v>5</v>
      </c>
      <c r="B19" s="35" t="s">
        <v>272</v>
      </c>
      <c r="C19" s="73" t="s">
        <v>231</v>
      </c>
      <c r="D19" s="61" t="s">
        <v>273</v>
      </c>
    </row>
    <row r="20" customFormat="false" ht="25.5" hidden="false" customHeight="true" outlineLevel="0" collapsed="false">
      <c r="A20" s="45" t="n">
        <v>6</v>
      </c>
      <c r="B20" s="38" t="s">
        <v>274</v>
      </c>
      <c r="C20" s="74" t="s">
        <v>275</v>
      </c>
      <c r="D20" s="64" t="s">
        <v>276</v>
      </c>
    </row>
    <row r="21" customFormat="false" ht="25.5" hidden="false" customHeight="true" outlineLevel="0" collapsed="false">
      <c r="A21" s="41" t="n">
        <v>7</v>
      </c>
      <c r="B21" s="35" t="s">
        <v>277</v>
      </c>
      <c r="C21" s="73" t="s">
        <v>225</v>
      </c>
      <c r="D21" s="61" t="s">
        <v>278</v>
      </c>
    </row>
    <row r="22" customFormat="false" ht="25.5" hidden="false" customHeight="true" outlineLevel="0" collapsed="false">
      <c r="A22" s="45" t="n">
        <v>8</v>
      </c>
      <c r="B22" s="38" t="s">
        <v>279</v>
      </c>
      <c r="C22" s="74" t="s">
        <v>264</v>
      </c>
      <c r="D22" s="64" t="s">
        <v>280</v>
      </c>
    </row>
    <row r="23" customFormat="false" ht="25.5" hidden="false" customHeight="true" outlineLevel="0" collapsed="false">
      <c r="A23" s="41" t="n">
        <v>9</v>
      </c>
      <c r="B23" s="35" t="s">
        <v>281</v>
      </c>
      <c r="C23" s="73" t="s">
        <v>229</v>
      </c>
      <c r="D23" s="61" t="s">
        <v>282</v>
      </c>
    </row>
    <row r="24" customFormat="false" ht="25.5" hidden="false" customHeight="true" outlineLevel="0" collapsed="false">
      <c r="A24" s="45" t="n">
        <v>10</v>
      </c>
      <c r="B24" s="38" t="s">
        <v>283</v>
      </c>
      <c r="C24" s="74" t="s">
        <v>284</v>
      </c>
      <c r="D24" s="64" t="s">
        <v>285</v>
      </c>
    </row>
    <row r="25" customFormat="false" ht="25.5" hidden="false" customHeight="true" outlineLevel="0" collapsed="false">
      <c r="A25" s="41" t="n">
        <v>11</v>
      </c>
      <c r="B25" s="35" t="s">
        <v>286</v>
      </c>
      <c r="C25" s="73" t="s">
        <v>231</v>
      </c>
      <c r="D25" s="61" t="s">
        <v>287</v>
      </c>
    </row>
    <row r="26" customFormat="false" ht="25.5" hidden="false" customHeight="true" outlineLevel="0" collapsed="false">
      <c r="A26" s="45" t="n">
        <v>12</v>
      </c>
      <c r="B26" s="38" t="s">
        <v>288</v>
      </c>
      <c r="C26" s="74" t="s">
        <v>229</v>
      </c>
      <c r="D26" s="64" t="s">
        <v>289</v>
      </c>
    </row>
    <row r="27" customFormat="false" ht="25.5" hidden="false" customHeight="true" outlineLevel="0" collapsed="false">
      <c r="A27" s="41" t="n">
        <v>13</v>
      </c>
      <c r="B27" s="35" t="s">
        <v>290</v>
      </c>
      <c r="C27" s="73" t="s">
        <v>275</v>
      </c>
      <c r="D27" s="61" t="s">
        <v>291</v>
      </c>
    </row>
    <row r="28" customFormat="false" ht="25.5" hidden="false" customHeight="true" outlineLevel="0" collapsed="false">
      <c r="A28" s="45" t="n">
        <v>14</v>
      </c>
      <c r="B28" s="38" t="s">
        <v>292</v>
      </c>
      <c r="C28" s="74" t="s">
        <v>229</v>
      </c>
      <c r="D28" s="64" t="s">
        <v>293</v>
      </c>
    </row>
    <row r="29" customFormat="false" ht="25.5" hidden="false" customHeight="true" outlineLevel="0" collapsed="false">
      <c r="A29" s="41" t="n">
        <v>15</v>
      </c>
      <c r="B29" s="35" t="s">
        <v>294</v>
      </c>
      <c r="C29" s="73" t="s">
        <v>217</v>
      </c>
      <c r="D29" s="61" t="s">
        <v>295</v>
      </c>
    </row>
    <row r="31" customFormat="false" ht="21.75" hidden="false" customHeight="true" outlineLevel="0" collapsed="false">
      <c r="A31" s="68" t="s">
        <v>296</v>
      </c>
      <c r="B31" s="68"/>
      <c r="C31" s="68"/>
      <c r="D31" s="68"/>
    </row>
    <row r="32" customFormat="false" ht="21.75" hidden="false" customHeight="true" outlineLevel="0" collapsed="false">
      <c r="A32" s="10" t="s">
        <v>297</v>
      </c>
      <c r="B32" s="10" t="s">
        <v>298</v>
      </c>
      <c r="C32" s="10" t="s">
        <v>299</v>
      </c>
      <c r="D32" s="10" t="s">
        <v>300</v>
      </c>
    </row>
    <row r="33" customFormat="false" ht="39.75" hidden="false" customHeight="true" outlineLevel="0" collapsed="false">
      <c r="A33" s="75" t="s">
        <v>301</v>
      </c>
      <c r="B33" s="60" t="s">
        <v>302</v>
      </c>
      <c r="C33" s="60" t="s">
        <v>303</v>
      </c>
      <c r="D33" s="60" t="s">
        <v>304</v>
      </c>
    </row>
    <row r="34" customFormat="false" ht="39.75" hidden="false" customHeight="true" outlineLevel="0" collapsed="false">
      <c r="A34" s="76" t="s">
        <v>305</v>
      </c>
      <c r="B34" s="63" t="s">
        <v>306</v>
      </c>
      <c r="C34" s="63" t="s">
        <v>307</v>
      </c>
      <c r="D34" s="63" t="s">
        <v>308</v>
      </c>
    </row>
    <row r="35" customFormat="false" ht="39.75" hidden="false" customHeight="true" outlineLevel="0" collapsed="false">
      <c r="A35" s="75" t="s">
        <v>309</v>
      </c>
      <c r="B35" s="60" t="s">
        <v>310</v>
      </c>
      <c r="C35" s="60" t="s">
        <v>311</v>
      </c>
      <c r="D35" s="60" t="s">
        <v>312</v>
      </c>
    </row>
    <row r="36" customFormat="false" ht="39.75" hidden="false" customHeight="true" outlineLevel="0" collapsed="false">
      <c r="A36" s="76" t="s">
        <v>313</v>
      </c>
      <c r="B36" s="63" t="s">
        <v>314</v>
      </c>
      <c r="C36" s="63" t="s">
        <v>315</v>
      </c>
      <c r="D36" s="63" t="s">
        <v>316</v>
      </c>
    </row>
    <row r="37" customFormat="false" ht="39.75" hidden="false" customHeight="true" outlineLevel="0" collapsed="false">
      <c r="A37" s="75" t="s">
        <v>317</v>
      </c>
      <c r="B37" s="60" t="s">
        <v>318</v>
      </c>
      <c r="C37" s="60" t="s">
        <v>319</v>
      </c>
      <c r="D37" s="60" t="s">
        <v>320</v>
      </c>
    </row>
    <row r="39" customFormat="false" ht="21.75" hidden="false" customHeight="true" outlineLevel="0" collapsed="false">
      <c r="A39" s="23" t="s">
        <v>321</v>
      </c>
      <c r="B39" s="23"/>
      <c r="C39" s="23"/>
      <c r="D39" s="23"/>
    </row>
    <row r="40" customFormat="false" ht="21.75" hidden="false" customHeight="true" outlineLevel="0" collapsed="false">
      <c r="A40" s="10" t="s">
        <v>322</v>
      </c>
      <c r="B40" s="10" t="s">
        <v>323</v>
      </c>
      <c r="C40" s="10" t="s">
        <v>239</v>
      </c>
      <c r="D40" s="10" t="s">
        <v>324</v>
      </c>
    </row>
    <row r="41" customFormat="false" ht="24" hidden="false" customHeight="true" outlineLevel="0" collapsed="false">
      <c r="A41" s="77" t="s">
        <v>325</v>
      </c>
      <c r="B41" s="78" t="n">
        <v>0.25</v>
      </c>
      <c r="C41" s="73" t="s">
        <v>326</v>
      </c>
      <c r="D41" s="48" t="s">
        <v>327</v>
      </c>
    </row>
    <row r="42" customFormat="false" ht="24" hidden="false" customHeight="true" outlineLevel="0" collapsed="false">
      <c r="A42" s="79" t="s">
        <v>328</v>
      </c>
      <c r="B42" s="80" t="n">
        <v>0.2</v>
      </c>
      <c r="C42" s="74" t="s">
        <v>329</v>
      </c>
      <c r="D42" s="49" t="s">
        <v>330</v>
      </c>
    </row>
    <row r="43" customFormat="false" ht="24" hidden="false" customHeight="true" outlineLevel="0" collapsed="false">
      <c r="A43" s="77" t="s">
        <v>331</v>
      </c>
      <c r="B43" s="78" t="n">
        <v>0.15</v>
      </c>
      <c r="C43" s="73" t="s">
        <v>229</v>
      </c>
      <c r="D43" s="49" t="s">
        <v>330</v>
      </c>
    </row>
    <row r="44" customFormat="false" ht="24" hidden="false" customHeight="true" outlineLevel="0" collapsed="false">
      <c r="A44" s="79" t="s">
        <v>332</v>
      </c>
      <c r="B44" s="80" t="n">
        <v>0.15</v>
      </c>
      <c r="C44" s="74" t="s">
        <v>333</v>
      </c>
      <c r="D44" s="49" t="s">
        <v>330</v>
      </c>
    </row>
    <row r="45" customFormat="false" ht="24" hidden="false" customHeight="true" outlineLevel="0" collapsed="false">
      <c r="A45" s="77" t="s">
        <v>334</v>
      </c>
      <c r="B45" s="78" t="n">
        <v>0.1</v>
      </c>
      <c r="C45" s="73" t="s">
        <v>225</v>
      </c>
      <c r="D45" s="48" t="s">
        <v>327</v>
      </c>
    </row>
    <row r="46" customFormat="false" ht="24" hidden="false" customHeight="true" outlineLevel="0" collapsed="false">
      <c r="A46" s="79" t="s">
        <v>335</v>
      </c>
      <c r="B46" s="80" t="n">
        <v>0.1</v>
      </c>
      <c r="C46" s="74" t="s">
        <v>229</v>
      </c>
      <c r="D46" s="43" t="s">
        <v>336</v>
      </c>
    </row>
    <row r="47" customFormat="false" ht="24" hidden="false" customHeight="true" outlineLevel="0" collapsed="false">
      <c r="A47" s="77" t="s">
        <v>337</v>
      </c>
      <c r="B47" s="78" t="n">
        <v>0.05</v>
      </c>
      <c r="C47" s="73" t="s">
        <v>225</v>
      </c>
      <c r="D47" s="66" t="s">
        <v>338</v>
      </c>
    </row>
  </sheetData>
  <mergeCells count="7">
    <mergeCell ref="A1:D1"/>
    <mergeCell ref="A2:D2"/>
    <mergeCell ref="A3:D3"/>
    <mergeCell ref="A5:D5"/>
    <mergeCell ref="A13:D13"/>
    <mergeCell ref="A31:D31"/>
    <mergeCell ref="A39:D39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650A"/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19.5" hidden="false" customHeight="true" outlineLevel="0" collapsed="false">
      <c r="A1" s="81" t="s">
        <v>339</v>
      </c>
      <c r="B1" s="81"/>
      <c r="C1" s="81"/>
      <c r="D1" s="81"/>
      <c r="E1" s="81"/>
      <c r="F1" s="81"/>
      <c r="G1" s="81"/>
      <c r="H1" s="81"/>
    </row>
    <row r="2" customFormat="false" ht="36" hidden="false" customHeight="true" outlineLevel="0" collapsed="false">
      <c r="A2" s="2" t="s">
        <v>340</v>
      </c>
      <c r="B2" s="2"/>
      <c r="C2" s="2"/>
      <c r="D2" s="2"/>
      <c r="E2" s="2"/>
      <c r="F2" s="2"/>
      <c r="G2" s="2"/>
      <c r="H2" s="2"/>
    </row>
    <row r="3" customFormat="false" ht="30" hidden="false" customHeight="true" outlineLevel="0" collapsed="false">
      <c r="A3" s="3" t="s">
        <v>341</v>
      </c>
      <c r="B3" s="3"/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21.75" hidden="false" customHeight="true" outlineLevel="0" collapsed="false">
      <c r="A5" s="82" t="s">
        <v>342</v>
      </c>
      <c r="B5" s="82"/>
      <c r="C5" s="82"/>
      <c r="D5" s="82"/>
      <c r="E5" s="82"/>
      <c r="F5" s="82"/>
      <c r="G5" s="82"/>
      <c r="H5" s="82"/>
    </row>
    <row r="6" customFormat="false" ht="24" hidden="false" customHeight="true" outlineLevel="0" collapsed="false">
      <c r="A6" s="10" t="s">
        <v>101</v>
      </c>
      <c r="B6" s="10" t="s">
        <v>343</v>
      </c>
      <c r="C6" s="10" t="s">
        <v>344</v>
      </c>
      <c r="D6" s="10" t="s">
        <v>345</v>
      </c>
      <c r="E6" s="10" t="s">
        <v>346</v>
      </c>
      <c r="F6" s="10" t="s">
        <v>347</v>
      </c>
      <c r="G6" s="10" t="s">
        <v>348</v>
      </c>
      <c r="H6" s="10" t="s">
        <v>349</v>
      </c>
    </row>
    <row r="7" customFormat="false" ht="36" hidden="false" customHeight="true" outlineLevel="0" collapsed="false">
      <c r="A7" s="83" t="n">
        <v>1</v>
      </c>
      <c r="B7" s="84" t="s">
        <v>350</v>
      </c>
      <c r="C7" s="84" t="s">
        <v>351</v>
      </c>
      <c r="D7" s="84" t="s">
        <v>352</v>
      </c>
      <c r="E7" s="85" t="s">
        <v>353</v>
      </c>
      <c r="F7" s="85" t="s">
        <v>354</v>
      </c>
      <c r="G7" s="86" t="s">
        <v>355</v>
      </c>
      <c r="H7" s="84" t="s">
        <v>356</v>
      </c>
    </row>
    <row r="8" customFormat="false" ht="36" hidden="false" customHeight="true" outlineLevel="0" collapsed="false">
      <c r="A8" s="87" t="n">
        <v>2</v>
      </c>
      <c r="B8" s="88" t="s">
        <v>357</v>
      </c>
      <c r="C8" s="88" t="s">
        <v>358</v>
      </c>
      <c r="D8" s="88" t="s">
        <v>359</v>
      </c>
      <c r="E8" s="89" t="s">
        <v>360</v>
      </c>
      <c r="F8" s="89" t="s">
        <v>361</v>
      </c>
      <c r="G8" s="90" t="s">
        <v>362</v>
      </c>
      <c r="H8" s="88" t="s">
        <v>363</v>
      </c>
    </row>
    <row r="9" customFormat="false" ht="36" hidden="false" customHeight="true" outlineLevel="0" collapsed="false">
      <c r="A9" s="83" t="n">
        <v>3</v>
      </c>
      <c r="B9" s="84" t="s">
        <v>364</v>
      </c>
      <c r="C9" s="84" t="s">
        <v>365</v>
      </c>
      <c r="D9" s="84" t="s">
        <v>366</v>
      </c>
      <c r="E9" s="85" t="s">
        <v>367</v>
      </c>
      <c r="F9" s="85" t="s">
        <v>368</v>
      </c>
      <c r="G9" s="90" t="s">
        <v>362</v>
      </c>
      <c r="H9" s="84" t="s">
        <v>369</v>
      </c>
    </row>
    <row r="10" customFormat="false" ht="36" hidden="false" customHeight="true" outlineLevel="0" collapsed="false">
      <c r="A10" s="87" t="n">
        <v>4</v>
      </c>
      <c r="B10" s="88" t="s">
        <v>370</v>
      </c>
      <c r="C10" s="88" t="s">
        <v>371</v>
      </c>
      <c r="D10" s="88" t="s">
        <v>372</v>
      </c>
      <c r="E10" s="89" t="s">
        <v>373</v>
      </c>
      <c r="F10" s="89" t="s">
        <v>374</v>
      </c>
      <c r="G10" s="90" t="s">
        <v>375</v>
      </c>
      <c r="H10" s="88" t="s">
        <v>376</v>
      </c>
    </row>
    <row r="11" customFormat="false" ht="36" hidden="false" customHeight="true" outlineLevel="0" collapsed="false">
      <c r="A11" s="83" t="n">
        <v>5</v>
      </c>
      <c r="B11" s="84" t="s">
        <v>377</v>
      </c>
      <c r="C11" s="84" t="s">
        <v>378</v>
      </c>
      <c r="D11" s="84" t="s">
        <v>379</v>
      </c>
      <c r="E11" s="85" t="s">
        <v>380</v>
      </c>
      <c r="F11" s="85" t="s">
        <v>381</v>
      </c>
      <c r="G11" s="86" t="s">
        <v>382</v>
      </c>
      <c r="H11" s="84" t="s">
        <v>383</v>
      </c>
    </row>
    <row r="12" customFormat="false" ht="36" hidden="false" customHeight="true" outlineLevel="0" collapsed="false">
      <c r="A12" s="87" t="n">
        <v>6</v>
      </c>
      <c r="B12" s="88" t="s">
        <v>384</v>
      </c>
      <c r="C12" s="88" t="s">
        <v>385</v>
      </c>
      <c r="D12" s="88" t="s">
        <v>379</v>
      </c>
      <c r="E12" s="89" t="s">
        <v>373</v>
      </c>
      <c r="F12" s="89" t="s">
        <v>386</v>
      </c>
      <c r="G12" s="90" t="s">
        <v>362</v>
      </c>
      <c r="H12" s="88" t="s">
        <v>387</v>
      </c>
    </row>
    <row r="13" customFormat="false" ht="36" hidden="false" customHeight="true" outlineLevel="0" collapsed="false">
      <c r="A13" s="83" t="n">
        <v>7</v>
      </c>
      <c r="B13" s="84" t="s">
        <v>388</v>
      </c>
      <c r="C13" s="84" t="s">
        <v>389</v>
      </c>
      <c r="D13" s="84" t="s">
        <v>390</v>
      </c>
      <c r="E13" s="85" t="s">
        <v>391</v>
      </c>
      <c r="F13" s="85" t="s">
        <v>392</v>
      </c>
      <c r="G13" s="91" t="s">
        <v>393</v>
      </c>
      <c r="H13" s="84" t="s">
        <v>394</v>
      </c>
    </row>
    <row r="14" customFormat="false" ht="36" hidden="false" customHeight="true" outlineLevel="0" collapsed="false">
      <c r="A14" s="87" t="n">
        <v>8</v>
      </c>
      <c r="B14" s="88" t="s">
        <v>395</v>
      </c>
      <c r="C14" s="88" t="s">
        <v>396</v>
      </c>
      <c r="D14" s="88" t="s">
        <v>397</v>
      </c>
      <c r="E14" s="89" t="s">
        <v>391</v>
      </c>
      <c r="F14" s="89" t="s">
        <v>392</v>
      </c>
      <c r="G14" s="90" t="s">
        <v>362</v>
      </c>
      <c r="H14" s="88" t="s">
        <v>398</v>
      </c>
    </row>
    <row r="15" customFormat="false" ht="24" hidden="false" customHeight="true" outlineLevel="0" collapsed="false">
      <c r="A15" s="51" t="s">
        <v>399</v>
      </c>
      <c r="B15" s="51"/>
      <c r="C15" s="51"/>
      <c r="D15" s="51"/>
      <c r="E15" s="52" t="s">
        <v>400</v>
      </c>
      <c r="F15" s="52" t="s">
        <v>401</v>
      </c>
      <c r="G15" s="53" t="s">
        <v>402</v>
      </c>
      <c r="H15" s="53"/>
    </row>
  </sheetData>
  <mergeCells count="6">
    <mergeCell ref="A1:H1"/>
    <mergeCell ref="A2:H2"/>
    <mergeCell ref="A3:H3"/>
    <mergeCell ref="A5:H5"/>
    <mergeCell ref="A15:D15"/>
    <mergeCell ref="G15:H1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650A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9.5" hidden="false" customHeight="true" outlineLevel="0" collapsed="false">
      <c r="A1" s="81" t="s">
        <v>339</v>
      </c>
      <c r="B1" s="81"/>
      <c r="C1" s="81"/>
      <c r="D1" s="81"/>
      <c r="E1" s="81"/>
      <c r="F1" s="81"/>
    </row>
    <row r="2" customFormat="false" ht="36" hidden="false" customHeight="true" outlineLevel="0" collapsed="false">
      <c r="A2" s="2" t="s">
        <v>403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404</v>
      </c>
      <c r="B3" s="3"/>
      <c r="C3" s="3"/>
      <c r="D3" s="3"/>
      <c r="E3" s="3"/>
      <c r="F3" s="3"/>
    </row>
    <row r="4" customFormat="false" ht="7.5" hidden="false" customHeight="true" outlineLevel="0" collapsed="false"/>
    <row r="5" customFormat="false" ht="21.75" hidden="false" customHeight="true" outlineLevel="0" collapsed="false">
      <c r="A5" s="82" t="s">
        <v>405</v>
      </c>
      <c r="B5" s="82"/>
      <c r="C5" s="82"/>
      <c r="D5" s="82"/>
      <c r="E5" s="82"/>
      <c r="F5" s="82"/>
    </row>
    <row r="6" customFormat="false" ht="24" hidden="false" customHeight="true" outlineLevel="0" collapsed="false">
      <c r="A6" s="10" t="s">
        <v>406</v>
      </c>
      <c r="B6" s="10" t="s">
        <v>407</v>
      </c>
      <c r="C6" s="10" t="s">
        <v>408</v>
      </c>
      <c r="D6" s="10" t="s">
        <v>409</v>
      </c>
      <c r="E6" s="10" t="s">
        <v>410</v>
      </c>
      <c r="F6" s="10" t="s">
        <v>411</v>
      </c>
    </row>
    <row r="7" customFormat="false" ht="37.5" hidden="false" customHeight="true" outlineLevel="0" collapsed="false">
      <c r="A7" s="12" t="s">
        <v>412</v>
      </c>
      <c r="B7" s="92" t="n">
        <v>1</v>
      </c>
      <c r="C7" s="84" t="s">
        <v>413</v>
      </c>
      <c r="D7" s="61" t="s">
        <v>414</v>
      </c>
      <c r="E7" s="93" t="n">
        <v>3000</v>
      </c>
      <c r="F7" s="94" t="n">
        <f aca="false">B7*E7</f>
        <v>3000</v>
      </c>
    </row>
    <row r="8" customFormat="false" ht="37.5" hidden="false" customHeight="true" outlineLevel="0" collapsed="false">
      <c r="A8" s="16" t="s">
        <v>359</v>
      </c>
      <c r="B8" s="95" t="n">
        <v>2</v>
      </c>
      <c r="C8" s="88" t="s">
        <v>415</v>
      </c>
      <c r="D8" s="64" t="s">
        <v>416</v>
      </c>
      <c r="E8" s="96" t="n">
        <v>1500</v>
      </c>
      <c r="F8" s="94" t="n">
        <f aca="false">B8*E8</f>
        <v>3000</v>
      </c>
    </row>
    <row r="9" customFormat="false" ht="37.5" hidden="false" customHeight="true" outlineLevel="0" collapsed="false">
      <c r="A9" s="12" t="s">
        <v>379</v>
      </c>
      <c r="B9" s="92" t="n">
        <v>4</v>
      </c>
      <c r="C9" s="84" t="s">
        <v>417</v>
      </c>
      <c r="D9" s="61" t="s">
        <v>418</v>
      </c>
      <c r="E9" s="93" t="n">
        <v>800</v>
      </c>
      <c r="F9" s="94" t="n">
        <f aca="false">B9*E9</f>
        <v>3200</v>
      </c>
    </row>
    <row r="10" customFormat="false" ht="37.5" hidden="false" customHeight="true" outlineLevel="0" collapsed="false">
      <c r="A10" s="16" t="s">
        <v>366</v>
      </c>
      <c r="B10" s="95" t="n">
        <v>2</v>
      </c>
      <c r="C10" s="88" t="s">
        <v>419</v>
      </c>
      <c r="D10" s="64" t="s">
        <v>420</v>
      </c>
      <c r="E10" s="96" t="n">
        <v>1200</v>
      </c>
      <c r="F10" s="94" t="n">
        <f aca="false">B10*E10</f>
        <v>2400</v>
      </c>
    </row>
    <row r="11" customFormat="false" ht="37.5" hidden="false" customHeight="true" outlineLevel="0" collapsed="false">
      <c r="A11" s="12" t="s">
        <v>352</v>
      </c>
      <c r="B11" s="92" t="n">
        <v>2</v>
      </c>
      <c r="C11" s="84" t="s">
        <v>421</v>
      </c>
      <c r="D11" s="61" t="s">
        <v>422</v>
      </c>
      <c r="E11" s="93" t="n">
        <v>700</v>
      </c>
      <c r="F11" s="94" t="n">
        <f aca="false">B11*E11</f>
        <v>1400</v>
      </c>
    </row>
    <row r="12" customFormat="false" ht="37.5" hidden="false" customHeight="true" outlineLevel="0" collapsed="false">
      <c r="A12" s="16" t="s">
        <v>397</v>
      </c>
      <c r="B12" s="95" t="n">
        <v>2</v>
      </c>
      <c r="C12" s="88" t="s">
        <v>423</v>
      </c>
      <c r="D12" s="64" t="s">
        <v>424</v>
      </c>
      <c r="E12" s="96" t="n">
        <v>800</v>
      </c>
      <c r="F12" s="94" t="n">
        <f aca="false">B12*E12</f>
        <v>1600</v>
      </c>
    </row>
    <row r="13" customFormat="false" ht="37.5" hidden="false" customHeight="true" outlineLevel="0" collapsed="false">
      <c r="A13" s="12" t="s">
        <v>425</v>
      </c>
      <c r="B13" s="92" t="n">
        <v>1</v>
      </c>
      <c r="C13" s="84" t="s">
        <v>426</v>
      </c>
      <c r="D13" s="61" t="s">
        <v>427</v>
      </c>
      <c r="E13" s="93" t="n">
        <v>1500</v>
      </c>
      <c r="F13" s="94" t="n">
        <f aca="false">B13*E13</f>
        <v>1500</v>
      </c>
    </row>
    <row r="14" customFormat="false" ht="24" hidden="false" customHeight="true" outlineLevel="0" collapsed="false">
      <c r="A14" s="51" t="s">
        <v>428</v>
      </c>
      <c r="B14" s="51"/>
      <c r="C14" s="51"/>
      <c r="D14" s="51"/>
      <c r="E14" s="52" t="n">
        <f aca="false">SUM(B7:B13)</f>
        <v>14</v>
      </c>
      <c r="F14" s="97" t="n">
        <f aca="false">SUM(F7:F13)</f>
        <v>16100</v>
      </c>
    </row>
    <row r="16" customFormat="false" ht="21.75" hidden="false" customHeight="true" outlineLevel="0" collapsed="false">
      <c r="A16" s="23" t="s">
        <v>429</v>
      </c>
      <c r="B16" s="23"/>
      <c r="C16" s="23"/>
      <c r="D16" s="23"/>
      <c r="E16" s="23"/>
      <c r="F16" s="23"/>
    </row>
    <row r="17" customFormat="false" ht="19.5" hidden="false" customHeight="true" outlineLevel="0" collapsed="false">
      <c r="A17" s="98" t="s">
        <v>430</v>
      </c>
      <c r="B17" s="98"/>
      <c r="C17" s="98"/>
      <c r="D17" s="98"/>
      <c r="E17" s="98"/>
      <c r="F17" s="98"/>
    </row>
    <row r="18" customFormat="false" ht="19.5" hidden="false" customHeight="true" outlineLevel="0" collapsed="false">
      <c r="A18" s="56" t="s">
        <v>431</v>
      </c>
      <c r="B18" s="56"/>
      <c r="C18" s="56"/>
      <c r="D18" s="56"/>
      <c r="E18" s="56"/>
      <c r="F18" s="56"/>
    </row>
    <row r="19" customFormat="false" ht="19.5" hidden="false" customHeight="true" outlineLevel="0" collapsed="false">
      <c r="A19" s="98" t="s">
        <v>432</v>
      </c>
      <c r="B19" s="98"/>
      <c r="C19" s="98"/>
      <c r="D19" s="98"/>
      <c r="E19" s="98"/>
      <c r="F19" s="98"/>
    </row>
    <row r="20" customFormat="false" ht="19.5" hidden="false" customHeight="true" outlineLevel="0" collapsed="false">
      <c r="A20" s="56" t="s">
        <v>433</v>
      </c>
      <c r="B20" s="56"/>
      <c r="C20" s="56"/>
      <c r="D20" s="56"/>
      <c r="E20" s="56"/>
      <c r="F20" s="56"/>
    </row>
  </sheetData>
  <mergeCells count="10">
    <mergeCell ref="A1:F1"/>
    <mergeCell ref="A2:F2"/>
    <mergeCell ref="A3:F3"/>
    <mergeCell ref="A5:F5"/>
    <mergeCell ref="A14:D14"/>
    <mergeCell ref="A16:F16"/>
    <mergeCell ref="A17:F17"/>
    <mergeCell ref="A18:F18"/>
    <mergeCell ref="A19:F19"/>
    <mergeCell ref="A20:F20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5650A"/>
    <pageSetUpPr fitToPage="tru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5" min="5" style="0" width="24"/>
  </cols>
  <sheetData>
    <row r="1" customFormat="false" ht="19.5" hidden="false" customHeight="true" outlineLevel="0" collapsed="false">
      <c r="A1" s="81" t="s">
        <v>339</v>
      </c>
      <c r="B1" s="81"/>
      <c r="C1" s="81"/>
      <c r="D1" s="81"/>
      <c r="E1" s="81"/>
    </row>
    <row r="2" customFormat="false" ht="36" hidden="false" customHeight="true" outlineLevel="0" collapsed="false">
      <c r="A2" s="2" t="s">
        <v>434</v>
      </c>
      <c r="B2" s="2"/>
      <c r="C2" s="2"/>
      <c r="D2" s="2"/>
      <c r="E2" s="2"/>
    </row>
    <row r="3" customFormat="false" ht="30" hidden="false" customHeight="true" outlineLevel="0" collapsed="false">
      <c r="A3" s="3" t="s">
        <v>435</v>
      </c>
      <c r="B3" s="3"/>
      <c r="C3" s="3"/>
      <c r="D3" s="3"/>
      <c r="E3" s="3"/>
    </row>
    <row r="4" customFormat="false" ht="7.5" hidden="false" customHeight="true" outlineLevel="0" collapsed="false"/>
    <row r="5" customFormat="false" ht="21.75" hidden="false" customHeight="true" outlineLevel="0" collapsed="false">
      <c r="A5" s="82" t="s">
        <v>436</v>
      </c>
      <c r="B5" s="82"/>
      <c r="C5" s="82"/>
      <c r="D5" s="82"/>
      <c r="E5" s="82"/>
    </row>
    <row r="6" customFormat="false" ht="24" hidden="false" customHeight="true" outlineLevel="0" collapsed="false">
      <c r="A6" s="10" t="s">
        <v>437</v>
      </c>
      <c r="B6" s="10" t="s">
        <v>438</v>
      </c>
      <c r="C6" s="10" t="s">
        <v>14</v>
      </c>
      <c r="D6" s="10" t="s">
        <v>439</v>
      </c>
      <c r="E6" s="10" t="s">
        <v>440</v>
      </c>
    </row>
    <row r="7" customFormat="false" ht="25.5" hidden="false" customHeight="true" outlineLevel="0" collapsed="false">
      <c r="A7" s="99" t="s">
        <v>441</v>
      </c>
      <c r="B7" s="77" t="s">
        <v>442</v>
      </c>
      <c r="C7" s="84" t="s">
        <v>443</v>
      </c>
      <c r="D7" s="94" t="n">
        <v>100</v>
      </c>
      <c r="E7" s="100" t="s">
        <v>444</v>
      </c>
    </row>
    <row r="8" customFormat="false" ht="25.5" hidden="false" customHeight="true" outlineLevel="0" collapsed="false">
      <c r="A8" s="101"/>
      <c r="B8" s="79" t="s">
        <v>445</v>
      </c>
      <c r="C8" s="88" t="s">
        <v>446</v>
      </c>
      <c r="D8" s="94" t="n">
        <v>60</v>
      </c>
      <c r="E8" s="102" t="s">
        <v>447</v>
      </c>
    </row>
    <row r="9" customFormat="false" ht="25.5" hidden="false" customHeight="true" outlineLevel="0" collapsed="false">
      <c r="A9" s="99" t="s">
        <v>448</v>
      </c>
      <c r="B9" s="77" t="s">
        <v>449</v>
      </c>
      <c r="C9" s="84" t="s">
        <v>450</v>
      </c>
      <c r="D9" s="94" t="n">
        <v>99</v>
      </c>
      <c r="E9" s="100" t="s">
        <v>451</v>
      </c>
    </row>
    <row r="10" customFormat="false" ht="25.5" hidden="false" customHeight="true" outlineLevel="0" collapsed="false">
      <c r="A10" s="101" t="s">
        <v>452</v>
      </c>
      <c r="B10" s="79" t="s">
        <v>453</v>
      </c>
      <c r="C10" s="88" t="s">
        <v>454</v>
      </c>
      <c r="D10" s="94" t="n">
        <v>120</v>
      </c>
      <c r="E10" s="102" t="s">
        <v>455</v>
      </c>
    </row>
    <row r="11" customFormat="false" ht="25.5" hidden="false" customHeight="true" outlineLevel="0" collapsed="false">
      <c r="A11" s="99"/>
      <c r="B11" s="77" t="s">
        <v>456</v>
      </c>
      <c r="C11" s="84" t="s">
        <v>457</v>
      </c>
      <c r="D11" s="94" t="n">
        <v>480</v>
      </c>
      <c r="E11" s="100" t="s">
        <v>458</v>
      </c>
    </row>
    <row r="12" customFormat="false" ht="25.5" hidden="false" customHeight="true" outlineLevel="0" collapsed="false">
      <c r="A12" s="101"/>
      <c r="B12" s="79" t="s">
        <v>459</v>
      </c>
      <c r="C12" s="88" t="s">
        <v>460</v>
      </c>
      <c r="D12" s="94" t="n">
        <v>95</v>
      </c>
      <c r="E12" s="102" t="s">
        <v>461</v>
      </c>
    </row>
    <row r="13" customFormat="false" ht="25.5" hidden="false" customHeight="true" outlineLevel="0" collapsed="false">
      <c r="A13" s="99" t="s">
        <v>462</v>
      </c>
      <c r="B13" s="77" t="s">
        <v>463</v>
      </c>
      <c r="C13" s="84" t="s">
        <v>464</v>
      </c>
      <c r="D13" s="94" t="n">
        <v>65</v>
      </c>
      <c r="E13" s="100" t="s">
        <v>465</v>
      </c>
    </row>
    <row r="14" customFormat="false" ht="25.5" hidden="false" customHeight="true" outlineLevel="0" collapsed="false">
      <c r="A14" s="101"/>
      <c r="B14" s="79" t="s">
        <v>466</v>
      </c>
      <c r="C14" s="88" t="s">
        <v>467</v>
      </c>
      <c r="D14" s="94" t="n">
        <v>90</v>
      </c>
      <c r="E14" s="102" t="s">
        <v>468</v>
      </c>
    </row>
    <row r="15" customFormat="false" ht="25.5" hidden="false" customHeight="true" outlineLevel="0" collapsed="false">
      <c r="A15" s="99" t="s">
        <v>395</v>
      </c>
      <c r="B15" s="77" t="s">
        <v>469</v>
      </c>
      <c r="C15" s="84" t="s">
        <v>470</v>
      </c>
      <c r="D15" s="94" t="n">
        <v>80</v>
      </c>
      <c r="E15" s="100" t="s">
        <v>471</v>
      </c>
    </row>
    <row r="16" customFormat="false" ht="25.5" hidden="false" customHeight="true" outlineLevel="0" collapsed="false">
      <c r="A16" s="101"/>
      <c r="B16" s="79" t="s">
        <v>472</v>
      </c>
      <c r="C16" s="88" t="s">
        <v>473</v>
      </c>
      <c r="D16" s="94" t="n">
        <v>100</v>
      </c>
      <c r="E16" s="102" t="s">
        <v>474</v>
      </c>
    </row>
    <row r="17" customFormat="false" ht="25.5" hidden="false" customHeight="true" outlineLevel="0" collapsed="false">
      <c r="A17" s="99" t="s">
        <v>475</v>
      </c>
      <c r="B17" s="77" t="s">
        <v>476</v>
      </c>
      <c r="C17" s="84" t="s">
        <v>477</v>
      </c>
      <c r="D17" s="94" t="n">
        <v>119</v>
      </c>
      <c r="E17" s="100" t="s">
        <v>478</v>
      </c>
    </row>
    <row r="18" customFormat="false" ht="25.5" hidden="false" customHeight="true" outlineLevel="0" collapsed="false">
      <c r="A18" s="101"/>
      <c r="B18" s="79" t="s">
        <v>479</v>
      </c>
      <c r="C18" s="88" t="s">
        <v>480</v>
      </c>
      <c r="D18" s="94" t="n">
        <v>20</v>
      </c>
      <c r="E18" s="102" t="s">
        <v>481</v>
      </c>
    </row>
    <row r="19" customFormat="false" ht="25.5" hidden="false" customHeight="true" outlineLevel="0" collapsed="false">
      <c r="A19" s="99" t="s">
        <v>482</v>
      </c>
      <c r="B19" s="77" t="s">
        <v>483</v>
      </c>
      <c r="C19" s="84" t="s">
        <v>484</v>
      </c>
      <c r="D19" s="94" t="n">
        <v>100</v>
      </c>
      <c r="E19" s="100" t="s">
        <v>485</v>
      </c>
    </row>
    <row r="20" customFormat="false" ht="25.5" hidden="false" customHeight="true" outlineLevel="0" collapsed="false">
      <c r="A20" s="101"/>
      <c r="B20" s="79" t="s">
        <v>486</v>
      </c>
      <c r="C20" s="88" t="s">
        <v>487</v>
      </c>
      <c r="D20" s="94" t="n">
        <v>36</v>
      </c>
      <c r="E20" s="102" t="s">
        <v>488</v>
      </c>
    </row>
    <row r="21" customFormat="false" ht="25.5" hidden="false" customHeight="true" outlineLevel="0" collapsed="false">
      <c r="A21" s="99"/>
      <c r="B21" s="77" t="s">
        <v>489</v>
      </c>
      <c r="C21" s="84" t="s">
        <v>490</v>
      </c>
      <c r="D21" s="94" t="n">
        <v>20</v>
      </c>
      <c r="E21" s="100" t="s">
        <v>491</v>
      </c>
    </row>
    <row r="22" customFormat="false" ht="24" hidden="false" customHeight="true" outlineLevel="0" collapsed="false">
      <c r="A22" s="51" t="s">
        <v>492</v>
      </c>
      <c r="B22" s="51"/>
      <c r="C22" s="51"/>
      <c r="D22" s="97" t="n">
        <f aca="false">SUM(D7:D21)</f>
        <v>1584</v>
      </c>
      <c r="E22" s="103" t="s">
        <v>493</v>
      </c>
    </row>
    <row r="24" customFormat="false" ht="21.75" hidden="false" customHeight="true" outlineLevel="0" collapsed="false">
      <c r="A24" s="23" t="s">
        <v>494</v>
      </c>
      <c r="B24" s="23"/>
      <c r="C24" s="23"/>
      <c r="D24" s="23"/>
      <c r="E24" s="23"/>
    </row>
    <row r="25" customFormat="false" ht="21.75" hidden="false" customHeight="true" outlineLevel="0" collapsed="false">
      <c r="A25" s="104" t="s">
        <v>495</v>
      </c>
      <c r="B25" s="104"/>
      <c r="C25" s="104"/>
      <c r="D25" s="105" t="n">
        <f aca="false">'👥 06 Team'!F14</f>
        <v>16100</v>
      </c>
      <c r="E25" s="28"/>
    </row>
    <row r="26" customFormat="false" ht="21.75" hidden="false" customHeight="true" outlineLevel="0" collapsed="false">
      <c r="A26" s="106" t="s">
        <v>496</v>
      </c>
      <c r="B26" s="106"/>
      <c r="C26" s="106"/>
      <c r="D26" s="107" t="n">
        <f aca="false">'🛠️ 07 AI Stack'!D22</f>
        <v>1584</v>
      </c>
      <c r="E26" s="30"/>
    </row>
    <row r="27" customFormat="false" ht="25.5" hidden="false" customHeight="true" outlineLevel="0" collapsed="false">
      <c r="A27" s="108" t="s">
        <v>497</v>
      </c>
      <c r="B27" s="108"/>
      <c r="C27" s="108"/>
      <c r="D27" s="109" t="n">
        <f aca="false">'👥 06 Team'!F14+'🛠️ 07 AI Stack'!D22</f>
        <v>17684</v>
      </c>
      <c r="E27" s="110"/>
    </row>
  </sheetData>
  <mergeCells count="9">
    <mergeCell ref="A1:E1"/>
    <mergeCell ref="A2:E2"/>
    <mergeCell ref="A3:E3"/>
    <mergeCell ref="A5:E5"/>
    <mergeCell ref="A22:C22"/>
    <mergeCell ref="A24:E24"/>
    <mergeCell ref="A25:C25"/>
    <mergeCell ref="A26:C26"/>
    <mergeCell ref="A27:C2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7D4B"/>
    <pageSetUpPr fitToPage="tru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26"/>
    <col collapsed="false" customWidth="true" hidden="false" outlineLevel="0" max="6" min="6" style="0" width="13"/>
  </cols>
  <sheetData>
    <row r="1" customFormat="false" ht="19.5" hidden="false" customHeight="true" outlineLevel="0" collapsed="false">
      <c r="A1" s="111" t="s">
        <v>498</v>
      </c>
      <c r="B1" s="111"/>
      <c r="C1" s="111"/>
      <c r="D1" s="111"/>
      <c r="E1" s="111"/>
      <c r="F1" s="111"/>
    </row>
    <row r="2" customFormat="false" ht="36" hidden="false" customHeight="true" outlineLevel="0" collapsed="false">
      <c r="A2" s="2" t="s">
        <v>499</v>
      </c>
      <c r="B2" s="2"/>
      <c r="C2" s="2"/>
      <c r="D2" s="2"/>
      <c r="E2" s="2"/>
      <c r="F2" s="2"/>
    </row>
    <row r="3" customFormat="false" ht="30" hidden="false" customHeight="true" outlineLevel="0" collapsed="false">
      <c r="A3" s="3" t="s">
        <v>500</v>
      </c>
      <c r="B3" s="3"/>
      <c r="C3" s="3"/>
      <c r="D3" s="3"/>
      <c r="E3" s="3"/>
      <c r="F3" s="3"/>
    </row>
    <row r="4" customFormat="false" ht="7.5" hidden="false" customHeight="true" outlineLevel="0" collapsed="false"/>
    <row r="5" customFormat="false" ht="21.75" hidden="false" customHeight="true" outlineLevel="0" collapsed="false">
      <c r="A5" s="112" t="s">
        <v>501</v>
      </c>
      <c r="B5" s="112"/>
      <c r="C5" s="112"/>
      <c r="D5" s="112"/>
      <c r="E5" s="112"/>
      <c r="F5" s="112"/>
    </row>
    <row r="6" customFormat="false" ht="24" hidden="false" customHeight="true" outlineLevel="0" collapsed="false">
      <c r="A6" s="10" t="s">
        <v>502</v>
      </c>
      <c r="B6" s="10" t="s">
        <v>503</v>
      </c>
      <c r="C6" s="10" t="s">
        <v>504</v>
      </c>
      <c r="D6" s="10" t="s">
        <v>505</v>
      </c>
      <c r="E6" s="10" t="s">
        <v>506</v>
      </c>
      <c r="F6" s="10" t="s">
        <v>507</v>
      </c>
    </row>
    <row r="7" customFormat="false" ht="19.5" hidden="false" customHeight="true" outlineLevel="0" collapsed="false">
      <c r="A7" s="23" t="s">
        <v>508</v>
      </c>
      <c r="B7" s="23"/>
      <c r="C7" s="23"/>
      <c r="D7" s="23"/>
      <c r="E7" s="23"/>
      <c r="F7" s="23"/>
    </row>
    <row r="8" customFormat="false" ht="21.75" hidden="false" customHeight="true" outlineLevel="0" collapsed="false">
      <c r="A8" s="77" t="s">
        <v>509</v>
      </c>
      <c r="B8" s="113" t="s">
        <v>510</v>
      </c>
      <c r="C8" s="48" t="s">
        <v>511</v>
      </c>
      <c r="D8" s="49" t="s">
        <v>512</v>
      </c>
      <c r="E8" s="100" t="s">
        <v>513</v>
      </c>
      <c r="F8" s="114" t="s">
        <v>514</v>
      </c>
    </row>
    <row r="9" customFormat="false" ht="21.75" hidden="false" customHeight="true" outlineLevel="0" collapsed="false">
      <c r="A9" s="79" t="s">
        <v>515</v>
      </c>
      <c r="B9" s="113" t="s">
        <v>516</v>
      </c>
      <c r="C9" s="48" t="s">
        <v>517</v>
      </c>
      <c r="D9" s="49" t="s">
        <v>518</v>
      </c>
      <c r="E9" s="102" t="s">
        <v>519</v>
      </c>
      <c r="F9" s="115" t="s">
        <v>514</v>
      </c>
    </row>
    <row r="10" customFormat="false" ht="21.75" hidden="false" customHeight="true" outlineLevel="0" collapsed="false">
      <c r="A10" s="77" t="s">
        <v>520</v>
      </c>
      <c r="B10" s="113" t="s">
        <v>521</v>
      </c>
      <c r="C10" s="48" t="s">
        <v>522</v>
      </c>
      <c r="D10" s="49" t="s">
        <v>523</v>
      </c>
      <c r="E10" s="100" t="s">
        <v>524</v>
      </c>
      <c r="F10" s="114" t="s">
        <v>514</v>
      </c>
    </row>
    <row r="11" customFormat="false" ht="19.5" hidden="false" customHeight="true" outlineLevel="0" collapsed="false">
      <c r="A11" s="23" t="s">
        <v>525</v>
      </c>
      <c r="B11" s="23"/>
      <c r="C11" s="23"/>
      <c r="D11" s="23"/>
      <c r="E11" s="23"/>
      <c r="F11" s="23"/>
    </row>
    <row r="12" customFormat="false" ht="21.75" hidden="false" customHeight="true" outlineLevel="0" collapsed="false">
      <c r="A12" s="77" t="s">
        <v>526</v>
      </c>
      <c r="B12" s="113" t="s">
        <v>527</v>
      </c>
      <c r="C12" s="48" t="s">
        <v>528</v>
      </c>
      <c r="D12" s="49" t="s">
        <v>529</v>
      </c>
      <c r="E12" s="100" t="s">
        <v>530</v>
      </c>
      <c r="F12" s="114" t="s">
        <v>514</v>
      </c>
    </row>
    <row r="13" customFormat="false" ht="21.75" hidden="false" customHeight="true" outlineLevel="0" collapsed="false">
      <c r="A13" s="79" t="s">
        <v>531</v>
      </c>
      <c r="B13" s="113" t="s">
        <v>532</v>
      </c>
      <c r="C13" s="48" t="s">
        <v>533</v>
      </c>
      <c r="D13" s="49" t="s">
        <v>534</v>
      </c>
      <c r="E13" s="102" t="s">
        <v>535</v>
      </c>
      <c r="F13" s="115" t="s">
        <v>514</v>
      </c>
    </row>
    <row r="14" customFormat="false" ht="21.75" hidden="false" customHeight="true" outlineLevel="0" collapsed="false">
      <c r="A14" s="77" t="s">
        <v>536</v>
      </c>
      <c r="B14" s="113" t="s">
        <v>537</v>
      </c>
      <c r="C14" s="48" t="s">
        <v>538</v>
      </c>
      <c r="D14" s="49" t="s">
        <v>539</v>
      </c>
      <c r="E14" s="100" t="s">
        <v>540</v>
      </c>
      <c r="F14" s="114" t="s">
        <v>514</v>
      </c>
    </row>
    <row r="15" customFormat="false" ht="21.75" hidden="false" customHeight="true" outlineLevel="0" collapsed="false">
      <c r="A15" s="79" t="s">
        <v>541</v>
      </c>
      <c r="B15" s="113" t="s">
        <v>542</v>
      </c>
      <c r="C15" s="48" t="s">
        <v>543</v>
      </c>
      <c r="D15" s="49" t="s">
        <v>544</v>
      </c>
      <c r="E15" s="102" t="s">
        <v>545</v>
      </c>
      <c r="F15" s="115" t="s">
        <v>514</v>
      </c>
    </row>
    <row r="16" customFormat="false" ht="19.5" hidden="false" customHeight="true" outlineLevel="0" collapsed="false">
      <c r="A16" s="23" t="s">
        <v>546</v>
      </c>
      <c r="B16" s="23"/>
      <c r="C16" s="23"/>
      <c r="D16" s="23"/>
      <c r="E16" s="23"/>
      <c r="F16" s="23"/>
    </row>
    <row r="17" customFormat="false" ht="21.75" hidden="false" customHeight="true" outlineLevel="0" collapsed="false">
      <c r="A17" s="77" t="s">
        <v>547</v>
      </c>
      <c r="B17" s="113" t="s">
        <v>548</v>
      </c>
      <c r="C17" s="48" t="s">
        <v>549</v>
      </c>
      <c r="D17" s="49" t="s">
        <v>550</v>
      </c>
      <c r="E17" s="100" t="s">
        <v>551</v>
      </c>
      <c r="F17" s="114" t="s">
        <v>514</v>
      </c>
    </row>
    <row r="18" customFormat="false" ht="21.75" hidden="false" customHeight="true" outlineLevel="0" collapsed="false">
      <c r="A18" s="79" t="s">
        <v>552</v>
      </c>
      <c r="B18" s="113" t="s">
        <v>471</v>
      </c>
      <c r="C18" s="48" t="s">
        <v>553</v>
      </c>
      <c r="D18" s="49" t="s">
        <v>554</v>
      </c>
      <c r="E18" s="102" t="s">
        <v>555</v>
      </c>
      <c r="F18" s="115" t="s">
        <v>514</v>
      </c>
    </row>
    <row r="19" customFormat="false" ht="21.75" hidden="false" customHeight="true" outlineLevel="0" collapsed="false">
      <c r="A19" s="77" t="s">
        <v>556</v>
      </c>
      <c r="B19" s="113" t="s">
        <v>557</v>
      </c>
      <c r="C19" s="48" t="s">
        <v>558</v>
      </c>
      <c r="D19" s="49" t="s">
        <v>559</v>
      </c>
      <c r="E19" s="100" t="s">
        <v>560</v>
      </c>
      <c r="F19" s="114" t="s">
        <v>561</v>
      </c>
    </row>
    <row r="20" customFormat="false" ht="19.5" hidden="false" customHeight="true" outlineLevel="0" collapsed="false">
      <c r="A20" s="23" t="s">
        <v>562</v>
      </c>
      <c r="B20" s="23"/>
      <c r="C20" s="23"/>
      <c r="D20" s="23"/>
      <c r="E20" s="23"/>
      <c r="F20" s="23"/>
    </row>
    <row r="21" customFormat="false" ht="21.75" hidden="false" customHeight="true" outlineLevel="0" collapsed="false">
      <c r="A21" s="77" t="s">
        <v>563</v>
      </c>
      <c r="B21" s="113" t="s">
        <v>564</v>
      </c>
      <c r="C21" s="48" t="s">
        <v>565</v>
      </c>
      <c r="D21" s="49" t="s">
        <v>566</v>
      </c>
      <c r="E21" s="100" t="s">
        <v>567</v>
      </c>
      <c r="F21" s="114" t="s">
        <v>514</v>
      </c>
    </row>
    <row r="22" customFormat="false" ht="21.75" hidden="false" customHeight="true" outlineLevel="0" collapsed="false">
      <c r="A22" s="79" t="s">
        <v>568</v>
      </c>
      <c r="B22" s="113" t="s">
        <v>543</v>
      </c>
      <c r="C22" s="48" t="s">
        <v>564</v>
      </c>
      <c r="D22" s="49" t="s">
        <v>569</v>
      </c>
      <c r="E22" s="102" t="s">
        <v>570</v>
      </c>
      <c r="F22" s="115" t="s">
        <v>514</v>
      </c>
    </row>
    <row r="23" customFormat="false" ht="21.75" hidden="false" customHeight="true" outlineLevel="0" collapsed="false">
      <c r="A23" s="77" t="s">
        <v>571</v>
      </c>
      <c r="B23" s="113" t="s">
        <v>572</v>
      </c>
      <c r="C23" s="48" t="s">
        <v>542</v>
      </c>
      <c r="D23" s="49" t="s">
        <v>573</v>
      </c>
      <c r="E23" s="100" t="s">
        <v>574</v>
      </c>
      <c r="F23" s="114" t="s">
        <v>514</v>
      </c>
    </row>
    <row r="24" customFormat="false" ht="21.75" hidden="false" customHeight="true" outlineLevel="0" collapsed="false">
      <c r="A24" s="79" t="s">
        <v>575</v>
      </c>
      <c r="B24" s="113" t="s">
        <v>558</v>
      </c>
      <c r="C24" s="48" t="s">
        <v>557</v>
      </c>
      <c r="D24" s="49" t="s">
        <v>576</v>
      </c>
      <c r="E24" s="102" t="s">
        <v>577</v>
      </c>
      <c r="F24" s="115" t="s">
        <v>514</v>
      </c>
    </row>
    <row r="25" customFormat="false" ht="19.5" hidden="false" customHeight="true" outlineLevel="0" collapsed="false">
      <c r="A25" s="23" t="s">
        <v>578</v>
      </c>
      <c r="B25" s="23"/>
      <c r="C25" s="23"/>
      <c r="D25" s="23"/>
      <c r="E25" s="23"/>
      <c r="F25" s="23"/>
    </row>
    <row r="26" customFormat="false" ht="21.75" hidden="false" customHeight="true" outlineLevel="0" collapsed="false">
      <c r="A26" s="77" t="s">
        <v>579</v>
      </c>
      <c r="B26" s="113" t="s">
        <v>580</v>
      </c>
      <c r="C26" s="48" t="s">
        <v>581</v>
      </c>
      <c r="D26" s="49" t="s">
        <v>582</v>
      </c>
      <c r="E26" s="100" t="s">
        <v>583</v>
      </c>
      <c r="F26" s="114" t="s">
        <v>514</v>
      </c>
    </row>
    <row r="27" customFormat="false" ht="21.75" hidden="false" customHeight="true" outlineLevel="0" collapsed="false">
      <c r="A27" s="79" t="s">
        <v>584</v>
      </c>
      <c r="B27" s="113" t="s">
        <v>585</v>
      </c>
      <c r="C27" s="48" t="s">
        <v>548</v>
      </c>
      <c r="D27" s="49" t="s">
        <v>554</v>
      </c>
      <c r="E27" s="102" t="s">
        <v>586</v>
      </c>
      <c r="F27" s="115" t="s">
        <v>514</v>
      </c>
    </row>
    <row r="28" customFormat="false" ht="21.75" hidden="false" customHeight="true" outlineLevel="0" collapsed="false">
      <c r="A28" s="77" t="s">
        <v>587</v>
      </c>
      <c r="B28" s="113" t="s">
        <v>588</v>
      </c>
      <c r="C28" s="48" t="s">
        <v>589</v>
      </c>
      <c r="D28" s="49" t="s">
        <v>590</v>
      </c>
      <c r="E28" s="100" t="s">
        <v>591</v>
      </c>
      <c r="F28" s="114" t="s">
        <v>592</v>
      </c>
    </row>
    <row r="29" customFormat="false" ht="21.75" hidden="false" customHeight="true" outlineLevel="0" collapsed="false">
      <c r="A29" s="79" t="s">
        <v>593</v>
      </c>
      <c r="B29" s="113" t="s">
        <v>594</v>
      </c>
      <c r="C29" s="48" t="s">
        <v>595</v>
      </c>
      <c r="D29" s="49" t="s">
        <v>596</v>
      </c>
      <c r="E29" s="102" t="s">
        <v>597</v>
      </c>
      <c r="F29" s="115" t="s">
        <v>592</v>
      </c>
    </row>
  </sheetData>
  <mergeCells count="9">
    <mergeCell ref="A1:F1"/>
    <mergeCell ref="A2:F2"/>
    <mergeCell ref="A3:F3"/>
    <mergeCell ref="A5:F5"/>
    <mergeCell ref="A7:F7"/>
    <mergeCell ref="A11:F11"/>
    <mergeCell ref="A16:F16"/>
    <mergeCell ref="A20:F20"/>
    <mergeCell ref="A25:F2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7B"/>
    <pageSetUpPr fitToPage="true"/>
  </sheetPr>
  <dimension ref="A1:G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8"/>
    <col collapsed="false" customWidth="true" hidden="false" outlineLevel="0" max="6" min="6" style="0" width="32"/>
    <col collapsed="false" customWidth="true" hidden="false" outlineLevel="0" max="7" min="7" style="0" width="28"/>
  </cols>
  <sheetData>
    <row r="1" customFormat="false" ht="19.5" hidden="false" customHeight="true" outlineLevel="0" collapsed="false">
      <c r="A1" s="67" t="s">
        <v>598</v>
      </c>
      <c r="B1" s="67"/>
      <c r="C1" s="67"/>
      <c r="D1" s="67"/>
      <c r="E1" s="67"/>
      <c r="F1" s="67"/>
      <c r="G1" s="67"/>
    </row>
    <row r="2" customFormat="false" ht="36" hidden="false" customHeight="true" outlineLevel="0" collapsed="false">
      <c r="A2" s="2" t="s">
        <v>599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600</v>
      </c>
      <c r="B3" s="3"/>
      <c r="C3" s="3"/>
      <c r="D3" s="3"/>
      <c r="E3" s="3"/>
      <c r="F3" s="3"/>
      <c r="G3" s="3"/>
    </row>
    <row r="4" customFormat="false" ht="7.5" hidden="false" customHeight="true" outlineLevel="0" collapsed="false"/>
    <row r="5" customFormat="false" ht="18" hidden="false" customHeight="true" outlineLevel="0" collapsed="false">
      <c r="A5" s="56" t="s">
        <v>601</v>
      </c>
      <c r="B5" s="56"/>
      <c r="C5" s="56"/>
      <c r="D5" s="56"/>
      <c r="E5" s="56"/>
      <c r="F5" s="56"/>
      <c r="G5" s="56"/>
    </row>
    <row r="6" customFormat="false" ht="21.75" hidden="false" customHeight="true" outlineLevel="0" collapsed="false">
      <c r="A6" s="68" t="s">
        <v>602</v>
      </c>
      <c r="B6" s="68"/>
      <c r="C6" s="68"/>
      <c r="D6" s="68"/>
      <c r="E6" s="68"/>
      <c r="F6" s="68"/>
      <c r="G6" s="68"/>
    </row>
    <row r="7" customFormat="false" ht="25.5" hidden="false" customHeight="true" outlineLevel="0" collapsed="false">
      <c r="A7" s="10" t="s">
        <v>101</v>
      </c>
      <c r="B7" s="10" t="s">
        <v>322</v>
      </c>
      <c r="C7" s="10" t="s">
        <v>603</v>
      </c>
      <c r="D7" s="10" t="s">
        <v>86</v>
      </c>
      <c r="E7" s="10" t="s">
        <v>604</v>
      </c>
      <c r="F7" s="10" t="s">
        <v>605</v>
      </c>
      <c r="G7" s="10" t="s">
        <v>606</v>
      </c>
    </row>
    <row r="8" customFormat="false" ht="57.75" hidden="false" customHeight="true" outlineLevel="0" collapsed="false">
      <c r="A8" s="116" t="n">
        <v>1</v>
      </c>
      <c r="B8" s="117" t="s">
        <v>328</v>
      </c>
      <c r="C8" s="118" t="s">
        <v>607</v>
      </c>
      <c r="D8" s="119" t="s">
        <v>217</v>
      </c>
      <c r="E8" s="120" t="s">
        <v>608</v>
      </c>
      <c r="F8" s="120" t="s">
        <v>609</v>
      </c>
      <c r="G8" s="121" t="s">
        <v>610</v>
      </c>
    </row>
    <row r="9" customFormat="false" ht="57.75" hidden="false" customHeight="true" outlineLevel="0" collapsed="false">
      <c r="A9" s="122" t="n">
        <v>2</v>
      </c>
      <c r="B9" s="123" t="s">
        <v>301</v>
      </c>
      <c r="C9" s="124" t="s">
        <v>611</v>
      </c>
      <c r="D9" s="119" t="s">
        <v>217</v>
      </c>
      <c r="E9" s="125" t="s">
        <v>612</v>
      </c>
      <c r="F9" s="125" t="s">
        <v>613</v>
      </c>
      <c r="G9" s="126" t="s">
        <v>614</v>
      </c>
    </row>
    <row r="10" customFormat="false" ht="57.75" hidden="false" customHeight="true" outlineLevel="0" collapsed="false">
      <c r="A10" s="116" t="n">
        <v>3</v>
      </c>
      <c r="B10" s="117" t="s">
        <v>305</v>
      </c>
      <c r="C10" s="118" t="s">
        <v>615</v>
      </c>
      <c r="D10" s="119" t="s">
        <v>217</v>
      </c>
      <c r="E10" s="120" t="s">
        <v>616</v>
      </c>
      <c r="F10" s="120" t="s">
        <v>617</v>
      </c>
      <c r="G10" s="121" t="s">
        <v>618</v>
      </c>
    </row>
    <row r="11" customFormat="false" ht="57.75" hidden="false" customHeight="true" outlineLevel="0" collapsed="false">
      <c r="A11" s="122" t="n">
        <v>4</v>
      </c>
      <c r="B11" s="123" t="s">
        <v>313</v>
      </c>
      <c r="C11" s="124" t="s">
        <v>619</v>
      </c>
      <c r="D11" s="119" t="s">
        <v>217</v>
      </c>
      <c r="E11" s="125" t="s">
        <v>620</v>
      </c>
      <c r="F11" s="125" t="s">
        <v>621</v>
      </c>
      <c r="G11" s="126" t="s">
        <v>622</v>
      </c>
    </row>
    <row r="12" customFormat="false" ht="57.75" hidden="false" customHeight="true" outlineLevel="0" collapsed="false">
      <c r="A12" s="116" t="n">
        <v>5</v>
      </c>
      <c r="B12" s="117" t="s">
        <v>623</v>
      </c>
      <c r="C12" s="118" t="s">
        <v>624</v>
      </c>
      <c r="D12" s="119" t="s">
        <v>217</v>
      </c>
      <c r="E12" s="120" t="s">
        <v>625</v>
      </c>
      <c r="F12" s="120" t="s">
        <v>626</v>
      </c>
      <c r="G12" s="121" t="s">
        <v>627</v>
      </c>
    </row>
    <row r="13" customFormat="false" ht="57.75" hidden="false" customHeight="true" outlineLevel="0" collapsed="false">
      <c r="A13" s="122" t="n">
        <v>6</v>
      </c>
      <c r="B13" s="123" t="s">
        <v>328</v>
      </c>
      <c r="C13" s="124" t="s">
        <v>628</v>
      </c>
      <c r="D13" s="119" t="s">
        <v>217</v>
      </c>
      <c r="E13" s="125" t="s">
        <v>629</v>
      </c>
      <c r="F13" s="125" t="s">
        <v>630</v>
      </c>
      <c r="G13" s="126" t="s">
        <v>631</v>
      </c>
    </row>
    <row r="14" customFormat="false" ht="57.75" hidden="false" customHeight="true" outlineLevel="0" collapsed="false">
      <c r="A14" s="116" t="n">
        <v>7</v>
      </c>
      <c r="B14" s="117" t="s">
        <v>301</v>
      </c>
      <c r="C14" s="118" t="s">
        <v>632</v>
      </c>
      <c r="D14" s="119" t="s">
        <v>217</v>
      </c>
      <c r="E14" s="120" t="s">
        <v>633</v>
      </c>
      <c r="F14" s="120" t="s">
        <v>634</v>
      </c>
      <c r="G14" s="121" t="s">
        <v>635</v>
      </c>
    </row>
    <row r="15" customFormat="false" ht="57.75" hidden="false" customHeight="true" outlineLevel="0" collapsed="false">
      <c r="A15" s="122" t="n">
        <v>8</v>
      </c>
      <c r="B15" s="123" t="s">
        <v>305</v>
      </c>
      <c r="C15" s="124" t="s">
        <v>636</v>
      </c>
      <c r="D15" s="119" t="s">
        <v>217</v>
      </c>
      <c r="E15" s="125" t="s">
        <v>637</v>
      </c>
      <c r="F15" s="125" t="s">
        <v>638</v>
      </c>
      <c r="G15" s="126" t="s">
        <v>639</v>
      </c>
    </row>
    <row r="16" customFormat="false" ht="57.75" hidden="false" customHeight="true" outlineLevel="0" collapsed="false">
      <c r="A16" s="116" t="n">
        <v>9</v>
      </c>
      <c r="B16" s="117" t="s">
        <v>640</v>
      </c>
      <c r="C16" s="118" t="s">
        <v>641</v>
      </c>
      <c r="D16" s="119" t="s">
        <v>217</v>
      </c>
      <c r="E16" s="120" t="s">
        <v>642</v>
      </c>
      <c r="F16" s="120" t="s">
        <v>643</v>
      </c>
      <c r="G16" s="121" t="s">
        <v>644</v>
      </c>
    </row>
    <row r="17" customFormat="false" ht="57.75" hidden="false" customHeight="true" outlineLevel="0" collapsed="false">
      <c r="A17" s="122" t="n">
        <v>10</v>
      </c>
      <c r="B17" s="123" t="s">
        <v>645</v>
      </c>
      <c r="C17" s="124" t="s">
        <v>646</v>
      </c>
      <c r="D17" s="119" t="s">
        <v>217</v>
      </c>
      <c r="E17" s="125" t="s">
        <v>647</v>
      </c>
      <c r="F17" s="125" t="s">
        <v>648</v>
      </c>
      <c r="G17" s="126" t="s">
        <v>649</v>
      </c>
    </row>
    <row r="18" customFormat="false" ht="57.75" hidden="false" customHeight="true" outlineLevel="0" collapsed="false">
      <c r="A18" s="116" t="n">
        <v>11</v>
      </c>
      <c r="B18" s="117" t="s">
        <v>131</v>
      </c>
      <c r="C18" s="118" t="s">
        <v>650</v>
      </c>
      <c r="D18" s="119" t="s">
        <v>217</v>
      </c>
      <c r="E18" s="120" t="s">
        <v>651</v>
      </c>
      <c r="F18" s="120" t="s">
        <v>652</v>
      </c>
      <c r="G18" s="121" t="s">
        <v>653</v>
      </c>
    </row>
    <row r="19" customFormat="false" ht="57.75" hidden="false" customHeight="true" outlineLevel="0" collapsed="false">
      <c r="A19" s="122" t="n">
        <v>12</v>
      </c>
      <c r="B19" s="123" t="s">
        <v>301</v>
      </c>
      <c r="C19" s="124" t="s">
        <v>654</v>
      </c>
      <c r="D19" s="119" t="s">
        <v>217</v>
      </c>
      <c r="E19" s="125" t="s">
        <v>655</v>
      </c>
      <c r="F19" s="125" t="s">
        <v>656</v>
      </c>
      <c r="G19" s="126" t="s">
        <v>657</v>
      </c>
    </row>
    <row r="20" customFormat="false" ht="57.75" hidden="false" customHeight="true" outlineLevel="0" collapsed="false">
      <c r="A20" s="116" t="n">
        <v>13</v>
      </c>
      <c r="B20" s="117" t="s">
        <v>328</v>
      </c>
      <c r="C20" s="118" t="s">
        <v>658</v>
      </c>
      <c r="D20" s="119" t="s">
        <v>217</v>
      </c>
      <c r="E20" s="120" t="s">
        <v>659</v>
      </c>
      <c r="F20" s="120" t="s">
        <v>660</v>
      </c>
      <c r="G20" s="121" t="s">
        <v>661</v>
      </c>
    </row>
    <row r="21" customFormat="false" ht="57.75" hidden="false" customHeight="true" outlineLevel="0" collapsed="false">
      <c r="A21" s="122" t="n">
        <v>14</v>
      </c>
      <c r="B21" s="123" t="s">
        <v>623</v>
      </c>
      <c r="C21" s="124" t="s">
        <v>662</v>
      </c>
      <c r="D21" s="119" t="s">
        <v>217</v>
      </c>
      <c r="E21" s="125" t="s">
        <v>663</v>
      </c>
      <c r="F21" s="125" t="s">
        <v>664</v>
      </c>
      <c r="G21" s="126" t="s">
        <v>665</v>
      </c>
    </row>
    <row r="22" customFormat="false" ht="57.75" hidden="false" customHeight="true" outlineLevel="0" collapsed="false">
      <c r="A22" s="116" t="n">
        <v>15</v>
      </c>
      <c r="B22" s="117" t="s">
        <v>305</v>
      </c>
      <c r="C22" s="118" t="s">
        <v>666</v>
      </c>
      <c r="D22" s="119" t="s">
        <v>217</v>
      </c>
      <c r="E22" s="120" t="s">
        <v>667</v>
      </c>
      <c r="F22" s="120" t="s">
        <v>668</v>
      </c>
      <c r="G22" s="121" t="s">
        <v>669</v>
      </c>
    </row>
    <row r="23" customFormat="false" ht="57.75" hidden="false" customHeight="true" outlineLevel="0" collapsed="false">
      <c r="A23" s="122" t="n">
        <v>16</v>
      </c>
      <c r="B23" s="123" t="s">
        <v>313</v>
      </c>
      <c r="C23" s="124" t="s">
        <v>670</v>
      </c>
      <c r="D23" s="119" t="s">
        <v>217</v>
      </c>
      <c r="E23" s="125" t="s">
        <v>671</v>
      </c>
      <c r="F23" s="125" t="s">
        <v>672</v>
      </c>
      <c r="G23" s="126" t="s">
        <v>673</v>
      </c>
    </row>
    <row r="24" customFormat="false" ht="57.75" hidden="false" customHeight="true" outlineLevel="0" collapsed="false">
      <c r="A24" s="116" t="n">
        <v>17</v>
      </c>
      <c r="B24" s="117" t="s">
        <v>301</v>
      </c>
      <c r="C24" s="118" t="s">
        <v>674</v>
      </c>
      <c r="D24" s="127" t="s">
        <v>221</v>
      </c>
      <c r="E24" s="120" t="s">
        <v>675</v>
      </c>
      <c r="F24" s="120" t="s">
        <v>676</v>
      </c>
      <c r="G24" s="121" t="s">
        <v>677</v>
      </c>
    </row>
    <row r="25" customFormat="false" ht="57.75" hidden="false" customHeight="true" outlineLevel="0" collapsed="false">
      <c r="A25" s="122" t="n">
        <v>18</v>
      </c>
      <c r="B25" s="123" t="s">
        <v>305</v>
      </c>
      <c r="C25" s="124" t="s">
        <v>678</v>
      </c>
      <c r="D25" s="127" t="s">
        <v>221</v>
      </c>
      <c r="E25" s="125" t="s">
        <v>679</v>
      </c>
      <c r="F25" s="125" t="s">
        <v>680</v>
      </c>
      <c r="G25" s="126" t="s">
        <v>681</v>
      </c>
    </row>
    <row r="26" customFormat="false" ht="57.75" hidden="false" customHeight="true" outlineLevel="0" collapsed="false">
      <c r="A26" s="116" t="n">
        <v>19</v>
      </c>
      <c r="B26" s="117" t="s">
        <v>309</v>
      </c>
      <c r="C26" s="118" t="s">
        <v>682</v>
      </c>
      <c r="D26" s="127" t="s">
        <v>221</v>
      </c>
      <c r="E26" s="120" t="s">
        <v>683</v>
      </c>
      <c r="F26" s="120" t="s">
        <v>684</v>
      </c>
      <c r="G26" s="121" t="s">
        <v>685</v>
      </c>
    </row>
    <row r="27" customFormat="false" ht="57.75" hidden="false" customHeight="true" outlineLevel="0" collapsed="false">
      <c r="A27" s="122" t="n">
        <v>20</v>
      </c>
      <c r="B27" s="123" t="s">
        <v>313</v>
      </c>
      <c r="C27" s="124" t="s">
        <v>686</v>
      </c>
      <c r="D27" s="127" t="s">
        <v>221</v>
      </c>
      <c r="E27" s="125" t="s">
        <v>687</v>
      </c>
      <c r="F27" s="125" t="s">
        <v>688</v>
      </c>
      <c r="G27" s="126" t="s">
        <v>689</v>
      </c>
    </row>
    <row r="28" customFormat="false" ht="57.75" hidden="false" customHeight="true" outlineLevel="0" collapsed="false">
      <c r="A28" s="116" t="n">
        <v>21</v>
      </c>
      <c r="B28" s="117" t="s">
        <v>623</v>
      </c>
      <c r="C28" s="118" t="s">
        <v>690</v>
      </c>
      <c r="D28" s="127" t="s">
        <v>221</v>
      </c>
      <c r="E28" s="120" t="s">
        <v>691</v>
      </c>
      <c r="F28" s="120" t="s">
        <v>692</v>
      </c>
      <c r="G28" s="121" t="s">
        <v>693</v>
      </c>
    </row>
    <row r="29" customFormat="false" ht="57.75" hidden="false" customHeight="true" outlineLevel="0" collapsed="false">
      <c r="A29" s="122" t="n">
        <v>22</v>
      </c>
      <c r="B29" s="123" t="s">
        <v>640</v>
      </c>
      <c r="C29" s="124" t="s">
        <v>694</v>
      </c>
      <c r="D29" s="127" t="s">
        <v>221</v>
      </c>
      <c r="E29" s="125" t="s">
        <v>695</v>
      </c>
      <c r="F29" s="125" t="s">
        <v>696</v>
      </c>
      <c r="G29" s="126" t="s">
        <v>697</v>
      </c>
    </row>
    <row r="30" customFormat="false" ht="57.75" hidden="false" customHeight="true" outlineLevel="0" collapsed="false">
      <c r="A30" s="116" t="n">
        <v>23</v>
      </c>
      <c r="B30" s="117" t="s">
        <v>301</v>
      </c>
      <c r="C30" s="118" t="s">
        <v>698</v>
      </c>
      <c r="D30" s="127" t="s">
        <v>221</v>
      </c>
      <c r="E30" s="120" t="s">
        <v>699</v>
      </c>
      <c r="F30" s="120" t="s">
        <v>700</v>
      </c>
      <c r="G30" s="121" t="s">
        <v>701</v>
      </c>
    </row>
    <row r="31" customFormat="false" ht="57.75" hidden="false" customHeight="true" outlineLevel="0" collapsed="false">
      <c r="A31" s="122" t="n">
        <v>24</v>
      </c>
      <c r="B31" s="123" t="s">
        <v>305</v>
      </c>
      <c r="C31" s="124" t="s">
        <v>702</v>
      </c>
      <c r="D31" s="127" t="s">
        <v>221</v>
      </c>
      <c r="E31" s="125" t="s">
        <v>703</v>
      </c>
      <c r="F31" s="125" t="s">
        <v>704</v>
      </c>
      <c r="G31" s="126" t="s">
        <v>705</v>
      </c>
    </row>
    <row r="32" customFormat="false" ht="57.75" hidden="false" customHeight="true" outlineLevel="0" collapsed="false">
      <c r="A32" s="116" t="n">
        <v>25</v>
      </c>
      <c r="B32" s="117" t="s">
        <v>309</v>
      </c>
      <c r="C32" s="118" t="s">
        <v>706</v>
      </c>
      <c r="D32" s="127" t="s">
        <v>221</v>
      </c>
      <c r="E32" s="120" t="s">
        <v>707</v>
      </c>
      <c r="F32" s="120" t="s">
        <v>708</v>
      </c>
      <c r="G32" s="121" t="s">
        <v>709</v>
      </c>
    </row>
    <row r="33" customFormat="false" ht="57.75" hidden="false" customHeight="true" outlineLevel="0" collapsed="false">
      <c r="A33" s="122" t="n">
        <v>26</v>
      </c>
      <c r="B33" s="123" t="s">
        <v>313</v>
      </c>
      <c r="C33" s="124" t="s">
        <v>710</v>
      </c>
      <c r="D33" s="127" t="s">
        <v>221</v>
      </c>
      <c r="E33" s="125" t="s">
        <v>711</v>
      </c>
      <c r="F33" s="125" t="s">
        <v>712</v>
      </c>
      <c r="G33" s="126" t="s">
        <v>713</v>
      </c>
    </row>
    <row r="34" customFormat="false" ht="57.75" hidden="false" customHeight="true" outlineLevel="0" collapsed="false">
      <c r="A34" s="116" t="n">
        <v>27</v>
      </c>
      <c r="B34" s="117" t="s">
        <v>623</v>
      </c>
      <c r="C34" s="118" t="s">
        <v>714</v>
      </c>
      <c r="D34" s="127" t="s">
        <v>221</v>
      </c>
      <c r="E34" s="120" t="s">
        <v>715</v>
      </c>
      <c r="F34" s="120" t="s">
        <v>716</v>
      </c>
      <c r="G34" s="121" t="s">
        <v>717</v>
      </c>
    </row>
    <row r="35" customFormat="false" ht="57.75" hidden="false" customHeight="true" outlineLevel="0" collapsed="false">
      <c r="A35" s="122" t="n">
        <v>28</v>
      </c>
      <c r="B35" s="123" t="s">
        <v>131</v>
      </c>
      <c r="C35" s="124" t="s">
        <v>718</v>
      </c>
      <c r="D35" s="127" t="s">
        <v>221</v>
      </c>
      <c r="E35" s="125" t="s">
        <v>719</v>
      </c>
      <c r="F35" s="125" t="s">
        <v>720</v>
      </c>
      <c r="G35" s="126" t="s">
        <v>721</v>
      </c>
    </row>
    <row r="36" customFormat="false" ht="57.75" hidden="false" customHeight="true" outlineLevel="0" collapsed="false">
      <c r="A36" s="116" t="n">
        <v>29</v>
      </c>
      <c r="B36" s="117" t="s">
        <v>301</v>
      </c>
      <c r="C36" s="118" t="s">
        <v>722</v>
      </c>
      <c r="D36" s="127" t="s">
        <v>221</v>
      </c>
      <c r="E36" s="120" t="s">
        <v>723</v>
      </c>
      <c r="F36" s="120" t="s">
        <v>724</v>
      </c>
      <c r="G36" s="121" t="s">
        <v>725</v>
      </c>
    </row>
    <row r="37" customFormat="false" ht="57.75" hidden="false" customHeight="true" outlineLevel="0" collapsed="false">
      <c r="A37" s="122" t="n">
        <v>30</v>
      </c>
      <c r="B37" s="123" t="s">
        <v>305</v>
      </c>
      <c r="C37" s="124" t="s">
        <v>726</v>
      </c>
      <c r="D37" s="127" t="s">
        <v>221</v>
      </c>
      <c r="E37" s="125" t="s">
        <v>727</v>
      </c>
      <c r="F37" s="125" t="s">
        <v>728</v>
      </c>
      <c r="G37" s="126" t="s">
        <v>729</v>
      </c>
    </row>
    <row r="38" customFormat="false" ht="57.75" hidden="false" customHeight="true" outlineLevel="0" collapsed="false">
      <c r="A38" s="116" t="n">
        <v>31</v>
      </c>
      <c r="B38" s="117" t="s">
        <v>309</v>
      </c>
      <c r="C38" s="118" t="s">
        <v>730</v>
      </c>
      <c r="D38" s="127" t="s">
        <v>221</v>
      </c>
      <c r="E38" s="120" t="s">
        <v>731</v>
      </c>
      <c r="F38" s="120" t="s">
        <v>732</v>
      </c>
      <c r="G38" s="121" t="s">
        <v>733</v>
      </c>
    </row>
    <row r="39" customFormat="false" ht="57.75" hidden="false" customHeight="true" outlineLevel="0" collapsed="false">
      <c r="A39" s="122" t="n">
        <v>32</v>
      </c>
      <c r="B39" s="123" t="s">
        <v>640</v>
      </c>
      <c r="C39" s="124" t="s">
        <v>734</v>
      </c>
      <c r="D39" s="127" t="s">
        <v>221</v>
      </c>
      <c r="E39" s="125" t="s">
        <v>735</v>
      </c>
      <c r="F39" s="125" t="s">
        <v>736</v>
      </c>
      <c r="G39" s="126" t="s">
        <v>737</v>
      </c>
    </row>
    <row r="40" customFormat="false" ht="57.75" hidden="false" customHeight="true" outlineLevel="0" collapsed="false">
      <c r="A40" s="116" t="n">
        <v>33</v>
      </c>
      <c r="B40" s="117" t="s">
        <v>623</v>
      </c>
      <c r="C40" s="118" t="s">
        <v>738</v>
      </c>
      <c r="D40" s="127" t="s">
        <v>221</v>
      </c>
      <c r="E40" s="120" t="s">
        <v>739</v>
      </c>
      <c r="F40" s="120" t="s">
        <v>740</v>
      </c>
      <c r="G40" s="121" t="s">
        <v>741</v>
      </c>
    </row>
    <row r="41" customFormat="false" ht="57.75" hidden="false" customHeight="true" outlineLevel="0" collapsed="false">
      <c r="A41" s="122" t="n">
        <v>34</v>
      </c>
      <c r="B41" s="123" t="s">
        <v>623</v>
      </c>
      <c r="C41" s="124" t="s">
        <v>742</v>
      </c>
      <c r="D41" s="128" t="s">
        <v>225</v>
      </c>
      <c r="E41" s="125" t="s">
        <v>743</v>
      </c>
      <c r="F41" s="125" t="s">
        <v>744</v>
      </c>
      <c r="G41" s="126" t="s">
        <v>745</v>
      </c>
    </row>
    <row r="42" customFormat="false" ht="57.75" hidden="false" customHeight="true" outlineLevel="0" collapsed="false">
      <c r="A42" s="116" t="n">
        <v>35</v>
      </c>
      <c r="B42" s="117" t="s">
        <v>305</v>
      </c>
      <c r="C42" s="118" t="s">
        <v>746</v>
      </c>
      <c r="D42" s="128" t="s">
        <v>225</v>
      </c>
      <c r="E42" s="120" t="s">
        <v>747</v>
      </c>
      <c r="F42" s="120" t="s">
        <v>748</v>
      </c>
      <c r="G42" s="121" t="s">
        <v>749</v>
      </c>
    </row>
    <row r="43" customFormat="false" ht="57.75" hidden="false" customHeight="true" outlineLevel="0" collapsed="false">
      <c r="A43" s="122" t="n">
        <v>36</v>
      </c>
      <c r="B43" s="123" t="s">
        <v>301</v>
      </c>
      <c r="C43" s="124" t="s">
        <v>750</v>
      </c>
      <c r="D43" s="128" t="s">
        <v>225</v>
      </c>
      <c r="E43" s="125" t="s">
        <v>751</v>
      </c>
      <c r="F43" s="125" t="s">
        <v>752</v>
      </c>
      <c r="G43" s="126" t="s">
        <v>753</v>
      </c>
    </row>
    <row r="44" customFormat="false" ht="57.75" hidden="false" customHeight="true" outlineLevel="0" collapsed="false">
      <c r="A44" s="116" t="n">
        <v>37</v>
      </c>
      <c r="B44" s="117" t="s">
        <v>131</v>
      </c>
      <c r="C44" s="118" t="s">
        <v>754</v>
      </c>
      <c r="D44" s="128" t="s">
        <v>225</v>
      </c>
      <c r="E44" s="120" t="s">
        <v>755</v>
      </c>
      <c r="F44" s="120" t="s">
        <v>756</v>
      </c>
      <c r="G44" s="121" t="s">
        <v>757</v>
      </c>
    </row>
    <row r="45" customFormat="false" ht="57.75" hidden="false" customHeight="true" outlineLevel="0" collapsed="false">
      <c r="A45" s="122" t="n">
        <v>38</v>
      </c>
      <c r="B45" s="123" t="s">
        <v>640</v>
      </c>
      <c r="C45" s="124" t="s">
        <v>758</v>
      </c>
      <c r="D45" s="128" t="s">
        <v>225</v>
      </c>
      <c r="E45" s="125" t="s">
        <v>759</v>
      </c>
      <c r="F45" s="125" t="s">
        <v>760</v>
      </c>
      <c r="G45" s="126" t="s">
        <v>761</v>
      </c>
    </row>
    <row r="46" customFormat="false" ht="57.75" hidden="false" customHeight="true" outlineLevel="0" collapsed="false">
      <c r="A46" s="116" t="n">
        <v>39</v>
      </c>
      <c r="B46" s="117" t="s">
        <v>623</v>
      </c>
      <c r="C46" s="118" t="s">
        <v>762</v>
      </c>
      <c r="D46" s="128" t="s">
        <v>225</v>
      </c>
      <c r="E46" s="120" t="s">
        <v>763</v>
      </c>
      <c r="F46" s="120" t="s">
        <v>764</v>
      </c>
      <c r="G46" s="121" t="s">
        <v>765</v>
      </c>
    </row>
    <row r="47" customFormat="false" ht="57.75" hidden="false" customHeight="true" outlineLevel="0" collapsed="false">
      <c r="A47" s="122" t="n">
        <v>40</v>
      </c>
      <c r="B47" s="123" t="s">
        <v>301</v>
      </c>
      <c r="C47" s="124" t="s">
        <v>766</v>
      </c>
      <c r="D47" s="128" t="s">
        <v>225</v>
      </c>
      <c r="E47" s="125" t="s">
        <v>767</v>
      </c>
      <c r="F47" s="125" t="s">
        <v>768</v>
      </c>
      <c r="G47" s="126" t="s">
        <v>769</v>
      </c>
    </row>
    <row r="48" customFormat="false" ht="57.75" hidden="false" customHeight="true" outlineLevel="0" collapsed="false">
      <c r="A48" s="116" t="n">
        <v>41</v>
      </c>
      <c r="B48" s="117" t="s">
        <v>305</v>
      </c>
      <c r="C48" s="118" t="s">
        <v>770</v>
      </c>
      <c r="D48" s="128" t="s">
        <v>225</v>
      </c>
      <c r="E48" s="120" t="s">
        <v>771</v>
      </c>
      <c r="F48" s="120" t="s">
        <v>772</v>
      </c>
      <c r="G48" s="121" t="s">
        <v>773</v>
      </c>
    </row>
    <row r="49" customFormat="false" ht="57.75" hidden="false" customHeight="true" outlineLevel="0" collapsed="false">
      <c r="A49" s="122" t="n">
        <v>42</v>
      </c>
      <c r="B49" s="123" t="s">
        <v>640</v>
      </c>
      <c r="C49" s="124" t="s">
        <v>774</v>
      </c>
      <c r="D49" s="128" t="s">
        <v>225</v>
      </c>
      <c r="E49" s="125" t="s">
        <v>775</v>
      </c>
      <c r="F49" s="125" t="s">
        <v>776</v>
      </c>
      <c r="G49" s="126" t="s">
        <v>777</v>
      </c>
    </row>
    <row r="50" customFormat="false" ht="57.75" hidden="false" customHeight="true" outlineLevel="0" collapsed="false">
      <c r="A50" s="116" t="n">
        <v>43</v>
      </c>
      <c r="B50" s="117" t="s">
        <v>328</v>
      </c>
      <c r="C50" s="118" t="s">
        <v>778</v>
      </c>
      <c r="D50" s="128" t="s">
        <v>225</v>
      </c>
      <c r="E50" s="120" t="s">
        <v>779</v>
      </c>
      <c r="F50" s="120" t="s">
        <v>780</v>
      </c>
      <c r="G50" s="121" t="s">
        <v>781</v>
      </c>
    </row>
    <row r="51" customFormat="false" ht="57.75" hidden="false" customHeight="true" outlineLevel="0" collapsed="false">
      <c r="A51" s="122" t="n">
        <v>44</v>
      </c>
      <c r="B51" s="123" t="s">
        <v>623</v>
      </c>
      <c r="C51" s="124" t="s">
        <v>782</v>
      </c>
      <c r="D51" s="128" t="s">
        <v>225</v>
      </c>
      <c r="E51" s="125" t="s">
        <v>783</v>
      </c>
      <c r="F51" s="125" t="s">
        <v>784</v>
      </c>
      <c r="G51" s="126" t="s">
        <v>785</v>
      </c>
    </row>
    <row r="52" customFormat="false" ht="57.75" hidden="false" customHeight="true" outlineLevel="0" collapsed="false">
      <c r="A52" s="116" t="n">
        <v>45</v>
      </c>
      <c r="B52" s="117" t="s">
        <v>301</v>
      </c>
      <c r="C52" s="118" t="s">
        <v>786</v>
      </c>
      <c r="D52" s="128" t="s">
        <v>225</v>
      </c>
      <c r="E52" s="120" t="s">
        <v>787</v>
      </c>
      <c r="F52" s="120" t="s">
        <v>788</v>
      </c>
      <c r="G52" s="121" t="s">
        <v>789</v>
      </c>
    </row>
    <row r="53" customFormat="false" ht="57.75" hidden="false" customHeight="true" outlineLevel="0" collapsed="false">
      <c r="A53" s="122" t="n">
        <v>46</v>
      </c>
      <c r="B53" s="123" t="s">
        <v>131</v>
      </c>
      <c r="C53" s="124" t="s">
        <v>790</v>
      </c>
      <c r="D53" s="128" t="s">
        <v>225</v>
      </c>
      <c r="E53" s="125" t="s">
        <v>791</v>
      </c>
      <c r="F53" s="125" t="s">
        <v>792</v>
      </c>
      <c r="G53" s="126" t="s">
        <v>793</v>
      </c>
    </row>
    <row r="54" customFormat="false" ht="57.75" hidden="false" customHeight="true" outlineLevel="0" collapsed="false">
      <c r="A54" s="116" t="n">
        <v>47</v>
      </c>
      <c r="B54" s="117" t="s">
        <v>305</v>
      </c>
      <c r="C54" s="118" t="s">
        <v>794</v>
      </c>
      <c r="D54" s="128" t="s">
        <v>225</v>
      </c>
      <c r="E54" s="120" t="s">
        <v>795</v>
      </c>
      <c r="F54" s="120" t="s">
        <v>796</v>
      </c>
      <c r="G54" s="121" t="s">
        <v>797</v>
      </c>
    </row>
    <row r="55" customFormat="false" ht="57.75" hidden="false" customHeight="true" outlineLevel="0" collapsed="false">
      <c r="A55" s="122" t="n">
        <v>48</v>
      </c>
      <c r="B55" s="123" t="s">
        <v>623</v>
      </c>
      <c r="C55" s="124" t="s">
        <v>798</v>
      </c>
      <c r="D55" s="128" t="s">
        <v>225</v>
      </c>
      <c r="E55" s="125" t="s">
        <v>799</v>
      </c>
      <c r="F55" s="125" t="s">
        <v>800</v>
      </c>
      <c r="G55" s="126" t="s">
        <v>801</v>
      </c>
    </row>
    <row r="56" customFormat="false" ht="57.75" hidden="false" customHeight="true" outlineLevel="0" collapsed="false">
      <c r="A56" s="116" t="n">
        <v>49</v>
      </c>
      <c r="B56" s="117" t="s">
        <v>301</v>
      </c>
      <c r="C56" s="118" t="s">
        <v>802</v>
      </c>
      <c r="D56" s="128" t="s">
        <v>225</v>
      </c>
      <c r="E56" s="120" t="s">
        <v>803</v>
      </c>
      <c r="F56" s="120" t="s">
        <v>804</v>
      </c>
      <c r="G56" s="121" t="s">
        <v>805</v>
      </c>
    </row>
    <row r="57" customFormat="false" ht="57.75" hidden="false" customHeight="true" outlineLevel="0" collapsed="false">
      <c r="A57" s="122" t="n">
        <v>50</v>
      </c>
      <c r="B57" s="123" t="s">
        <v>645</v>
      </c>
      <c r="C57" s="124" t="s">
        <v>806</v>
      </c>
      <c r="D57" s="128" t="s">
        <v>225</v>
      </c>
      <c r="E57" s="125" t="s">
        <v>807</v>
      </c>
      <c r="F57" s="125" t="s">
        <v>808</v>
      </c>
      <c r="G57" s="126" t="s">
        <v>809</v>
      </c>
    </row>
    <row r="58" customFormat="false" ht="57.75" hidden="false" customHeight="true" outlineLevel="0" collapsed="false">
      <c r="A58" s="116" t="n">
        <v>51</v>
      </c>
      <c r="B58" s="117" t="s">
        <v>305</v>
      </c>
      <c r="C58" s="118" t="s">
        <v>810</v>
      </c>
      <c r="D58" s="129" t="s">
        <v>284</v>
      </c>
      <c r="E58" s="120" t="s">
        <v>811</v>
      </c>
      <c r="F58" s="120" t="s">
        <v>812</v>
      </c>
      <c r="G58" s="121" t="s">
        <v>813</v>
      </c>
    </row>
    <row r="59" customFormat="false" ht="57.75" hidden="false" customHeight="true" outlineLevel="0" collapsed="false">
      <c r="A59" s="122" t="n">
        <v>52</v>
      </c>
      <c r="B59" s="123" t="s">
        <v>301</v>
      </c>
      <c r="C59" s="124" t="s">
        <v>814</v>
      </c>
      <c r="D59" s="129" t="s">
        <v>284</v>
      </c>
      <c r="E59" s="125" t="s">
        <v>815</v>
      </c>
      <c r="F59" s="125" t="s">
        <v>816</v>
      </c>
      <c r="G59" s="126" t="s">
        <v>817</v>
      </c>
    </row>
    <row r="60" customFormat="false" ht="57.75" hidden="false" customHeight="true" outlineLevel="0" collapsed="false">
      <c r="A60" s="116" t="n">
        <v>53</v>
      </c>
      <c r="B60" s="117" t="s">
        <v>309</v>
      </c>
      <c r="C60" s="118" t="s">
        <v>818</v>
      </c>
      <c r="D60" s="129" t="s">
        <v>284</v>
      </c>
      <c r="E60" s="120" t="s">
        <v>819</v>
      </c>
      <c r="F60" s="120" t="s">
        <v>820</v>
      </c>
      <c r="G60" s="121" t="s">
        <v>821</v>
      </c>
    </row>
    <row r="61" customFormat="false" ht="57.75" hidden="false" customHeight="true" outlineLevel="0" collapsed="false">
      <c r="A61" s="122" t="n">
        <v>54</v>
      </c>
      <c r="B61" s="123" t="s">
        <v>131</v>
      </c>
      <c r="C61" s="124" t="s">
        <v>822</v>
      </c>
      <c r="D61" s="129" t="s">
        <v>284</v>
      </c>
      <c r="E61" s="125" t="s">
        <v>823</v>
      </c>
      <c r="F61" s="125" t="s">
        <v>824</v>
      </c>
      <c r="G61" s="126" t="s">
        <v>825</v>
      </c>
    </row>
    <row r="62" customFormat="false" ht="57.75" hidden="false" customHeight="true" outlineLevel="0" collapsed="false">
      <c r="A62" s="116" t="n">
        <v>55</v>
      </c>
      <c r="B62" s="117" t="s">
        <v>313</v>
      </c>
      <c r="C62" s="118" t="s">
        <v>826</v>
      </c>
      <c r="D62" s="129" t="s">
        <v>284</v>
      </c>
      <c r="E62" s="120" t="s">
        <v>827</v>
      </c>
      <c r="F62" s="120" t="s">
        <v>828</v>
      </c>
      <c r="G62" s="121" t="s">
        <v>829</v>
      </c>
    </row>
    <row r="63" customFormat="false" ht="57.75" hidden="false" customHeight="true" outlineLevel="0" collapsed="false">
      <c r="A63" s="122" t="n">
        <v>56</v>
      </c>
      <c r="B63" s="123" t="s">
        <v>301</v>
      </c>
      <c r="C63" s="124" t="s">
        <v>830</v>
      </c>
      <c r="D63" s="129" t="s">
        <v>284</v>
      </c>
      <c r="E63" s="125" t="s">
        <v>831</v>
      </c>
      <c r="F63" s="125" t="s">
        <v>832</v>
      </c>
      <c r="G63" s="126" t="s">
        <v>833</v>
      </c>
    </row>
    <row r="64" customFormat="false" ht="57.75" hidden="false" customHeight="true" outlineLevel="0" collapsed="false">
      <c r="A64" s="116" t="n">
        <v>57</v>
      </c>
      <c r="B64" s="117" t="s">
        <v>305</v>
      </c>
      <c r="C64" s="118" t="s">
        <v>834</v>
      </c>
      <c r="D64" s="129" t="s">
        <v>284</v>
      </c>
      <c r="E64" s="120" t="s">
        <v>835</v>
      </c>
      <c r="F64" s="120" t="s">
        <v>836</v>
      </c>
      <c r="G64" s="121" t="s">
        <v>837</v>
      </c>
    </row>
    <row r="65" customFormat="false" ht="57.75" hidden="false" customHeight="true" outlineLevel="0" collapsed="false">
      <c r="A65" s="122" t="n">
        <v>58</v>
      </c>
      <c r="B65" s="123" t="s">
        <v>328</v>
      </c>
      <c r="C65" s="124" t="s">
        <v>838</v>
      </c>
      <c r="D65" s="129" t="s">
        <v>284</v>
      </c>
      <c r="E65" s="125" t="s">
        <v>839</v>
      </c>
      <c r="F65" s="125" t="s">
        <v>840</v>
      </c>
      <c r="G65" s="126" t="s">
        <v>841</v>
      </c>
    </row>
    <row r="66" customFormat="false" ht="57.75" hidden="false" customHeight="true" outlineLevel="0" collapsed="false">
      <c r="A66" s="116" t="n">
        <v>59</v>
      </c>
      <c r="B66" s="117" t="s">
        <v>623</v>
      </c>
      <c r="C66" s="118" t="s">
        <v>842</v>
      </c>
      <c r="D66" s="129" t="s">
        <v>284</v>
      </c>
      <c r="E66" s="120" t="s">
        <v>843</v>
      </c>
      <c r="F66" s="120" t="s">
        <v>844</v>
      </c>
      <c r="G66" s="121" t="s">
        <v>825</v>
      </c>
    </row>
    <row r="67" customFormat="false" ht="57.75" hidden="false" customHeight="true" outlineLevel="0" collapsed="false">
      <c r="A67" s="122" t="n">
        <v>60</v>
      </c>
      <c r="B67" s="123" t="s">
        <v>301</v>
      </c>
      <c r="C67" s="124" t="s">
        <v>845</v>
      </c>
      <c r="D67" s="129" t="s">
        <v>284</v>
      </c>
      <c r="E67" s="125" t="s">
        <v>846</v>
      </c>
      <c r="F67" s="125" t="s">
        <v>847</v>
      </c>
      <c r="G67" s="126" t="s">
        <v>848</v>
      </c>
    </row>
    <row r="68" customFormat="false" ht="57.75" hidden="false" customHeight="true" outlineLevel="0" collapsed="false">
      <c r="A68" s="116" t="n">
        <v>61</v>
      </c>
      <c r="B68" s="117" t="s">
        <v>305</v>
      </c>
      <c r="C68" s="118" t="s">
        <v>849</v>
      </c>
      <c r="D68" s="129" t="s">
        <v>284</v>
      </c>
      <c r="E68" s="120" t="s">
        <v>850</v>
      </c>
      <c r="F68" s="120" t="s">
        <v>851</v>
      </c>
      <c r="G68" s="121" t="s">
        <v>852</v>
      </c>
    </row>
    <row r="69" customFormat="false" ht="57.75" hidden="false" customHeight="true" outlineLevel="0" collapsed="false">
      <c r="A69" s="122" t="n">
        <v>62</v>
      </c>
      <c r="B69" s="123" t="s">
        <v>131</v>
      </c>
      <c r="C69" s="124" t="s">
        <v>853</v>
      </c>
      <c r="D69" s="129" t="s">
        <v>284</v>
      </c>
      <c r="E69" s="125" t="s">
        <v>854</v>
      </c>
      <c r="F69" s="125" t="s">
        <v>855</v>
      </c>
      <c r="G69" s="126" t="s">
        <v>856</v>
      </c>
    </row>
    <row r="70" customFormat="false" ht="57.75" hidden="false" customHeight="true" outlineLevel="0" collapsed="false">
      <c r="A70" s="116" t="n">
        <v>63</v>
      </c>
      <c r="B70" s="117" t="s">
        <v>301</v>
      </c>
      <c r="C70" s="118" t="s">
        <v>857</v>
      </c>
      <c r="D70" s="129" t="s">
        <v>284</v>
      </c>
      <c r="E70" s="120" t="s">
        <v>858</v>
      </c>
      <c r="F70" s="120" t="s">
        <v>859</v>
      </c>
      <c r="G70" s="121" t="s">
        <v>860</v>
      </c>
    </row>
    <row r="71" customFormat="false" ht="57.75" hidden="false" customHeight="true" outlineLevel="0" collapsed="false">
      <c r="A71" s="122" t="n">
        <v>64</v>
      </c>
      <c r="B71" s="123" t="s">
        <v>313</v>
      </c>
      <c r="C71" s="124" t="s">
        <v>861</v>
      </c>
      <c r="D71" s="129" t="s">
        <v>284</v>
      </c>
      <c r="E71" s="125" t="s">
        <v>862</v>
      </c>
      <c r="F71" s="125" t="s">
        <v>863</v>
      </c>
      <c r="G71" s="126" t="s">
        <v>864</v>
      </c>
    </row>
    <row r="72" customFormat="false" ht="57.75" hidden="false" customHeight="true" outlineLevel="0" collapsed="false">
      <c r="A72" s="116" t="n">
        <v>65</v>
      </c>
      <c r="B72" s="117" t="s">
        <v>623</v>
      </c>
      <c r="C72" s="118" t="s">
        <v>865</v>
      </c>
      <c r="D72" s="129" t="s">
        <v>284</v>
      </c>
      <c r="E72" s="120" t="s">
        <v>866</v>
      </c>
      <c r="F72" s="120" t="s">
        <v>867</v>
      </c>
      <c r="G72" s="121" t="s">
        <v>868</v>
      </c>
    </row>
    <row r="73" customFormat="false" ht="57.75" hidden="false" customHeight="true" outlineLevel="0" collapsed="false">
      <c r="A73" s="122" t="n">
        <v>66</v>
      </c>
      <c r="B73" s="123" t="s">
        <v>328</v>
      </c>
      <c r="C73" s="124" t="s">
        <v>869</v>
      </c>
      <c r="D73" s="129" t="s">
        <v>284</v>
      </c>
      <c r="E73" s="125" t="s">
        <v>870</v>
      </c>
      <c r="F73" s="125" t="s">
        <v>871</v>
      </c>
      <c r="G73" s="126" t="s">
        <v>872</v>
      </c>
    </row>
    <row r="74" customFormat="false" ht="57.75" hidden="false" customHeight="true" outlineLevel="0" collapsed="false">
      <c r="A74" s="116" t="n">
        <v>67</v>
      </c>
      <c r="B74" s="117" t="s">
        <v>305</v>
      </c>
      <c r="C74" s="118" t="s">
        <v>873</v>
      </c>
      <c r="D74" s="129" t="s">
        <v>284</v>
      </c>
      <c r="E74" s="120" t="s">
        <v>874</v>
      </c>
      <c r="F74" s="120" t="s">
        <v>875</v>
      </c>
      <c r="G74" s="121" t="s">
        <v>876</v>
      </c>
    </row>
    <row r="75" customFormat="false" ht="57.75" hidden="false" customHeight="true" outlineLevel="0" collapsed="false">
      <c r="A75" s="122" t="n">
        <v>68</v>
      </c>
      <c r="B75" s="123" t="s">
        <v>305</v>
      </c>
      <c r="C75" s="124" t="s">
        <v>877</v>
      </c>
      <c r="D75" s="130" t="s">
        <v>229</v>
      </c>
      <c r="E75" s="125" t="s">
        <v>878</v>
      </c>
      <c r="F75" s="125" t="s">
        <v>879</v>
      </c>
      <c r="G75" s="126" t="s">
        <v>880</v>
      </c>
    </row>
    <row r="76" customFormat="false" ht="57.75" hidden="false" customHeight="true" outlineLevel="0" collapsed="false">
      <c r="A76" s="116" t="n">
        <v>69</v>
      </c>
      <c r="B76" s="117" t="s">
        <v>301</v>
      </c>
      <c r="C76" s="118" t="s">
        <v>293</v>
      </c>
      <c r="D76" s="130" t="s">
        <v>229</v>
      </c>
      <c r="E76" s="120" t="s">
        <v>881</v>
      </c>
      <c r="F76" s="120" t="s">
        <v>882</v>
      </c>
      <c r="G76" s="121" t="s">
        <v>883</v>
      </c>
    </row>
    <row r="77" customFormat="false" ht="57.75" hidden="false" customHeight="true" outlineLevel="0" collapsed="false">
      <c r="A77" s="122" t="n">
        <v>70</v>
      </c>
      <c r="B77" s="123" t="s">
        <v>623</v>
      </c>
      <c r="C77" s="124" t="s">
        <v>884</v>
      </c>
      <c r="D77" s="130" t="s">
        <v>229</v>
      </c>
      <c r="E77" s="125" t="s">
        <v>885</v>
      </c>
      <c r="F77" s="125" t="s">
        <v>886</v>
      </c>
      <c r="G77" s="126" t="s">
        <v>887</v>
      </c>
    </row>
    <row r="78" customFormat="false" ht="57.75" hidden="false" customHeight="true" outlineLevel="0" collapsed="false">
      <c r="A78" s="116" t="n">
        <v>71</v>
      </c>
      <c r="B78" s="117" t="s">
        <v>313</v>
      </c>
      <c r="C78" s="118" t="s">
        <v>888</v>
      </c>
      <c r="D78" s="130" t="s">
        <v>229</v>
      </c>
      <c r="E78" s="120" t="s">
        <v>889</v>
      </c>
      <c r="F78" s="120" t="s">
        <v>890</v>
      </c>
      <c r="G78" s="121" t="s">
        <v>891</v>
      </c>
    </row>
    <row r="79" customFormat="false" ht="57.75" hidden="false" customHeight="true" outlineLevel="0" collapsed="false">
      <c r="A79" s="122" t="n">
        <v>72</v>
      </c>
      <c r="B79" s="123" t="s">
        <v>305</v>
      </c>
      <c r="C79" s="124" t="s">
        <v>892</v>
      </c>
      <c r="D79" s="130" t="s">
        <v>229</v>
      </c>
      <c r="E79" s="125" t="s">
        <v>893</v>
      </c>
      <c r="F79" s="125" t="s">
        <v>894</v>
      </c>
      <c r="G79" s="126" t="s">
        <v>895</v>
      </c>
    </row>
    <row r="80" customFormat="false" ht="57.75" hidden="false" customHeight="true" outlineLevel="0" collapsed="false">
      <c r="A80" s="116" t="n">
        <v>73</v>
      </c>
      <c r="B80" s="117" t="s">
        <v>640</v>
      </c>
      <c r="C80" s="118" t="s">
        <v>896</v>
      </c>
      <c r="D80" s="130" t="s">
        <v>229</v>
      </c>
      <c r="E80" s="120" t="s">
        <v>897</v>
      </c>
      <c r="F80" s="120" t="s">
        <v>898</v>
      </c>
      <c r="G80" s="121" t="s">
        <v>899</v>
      </c>
    </row>
    <row r="81" customFormat="false" ht="57.75" hidden="false" customHeight="true" outlineLevel="0" collapsed="false">
      <c r="A81" s="122" t="n">
        <v>74</v>
      </c>
      <c r="B81" s="123" t="s">
        <v>623</v>
      </c>
      <c r="C81" s="124" t="s">
        <v>900</v>
      </c>
      <c r="D81" s="130" t="s">
        <v>229</v>
      </c>
      <c r="E81" s="125" t="s">
        <v>901</v>
      </c>
      <c r="F81" s="125" t="s">
        <v>902</v>
      </c>
      <c r="G81" s="126" t="s">
        <v>903</v>
      </c>
    </row>
    <row r="82" customFormat="false" ht="57.75" hidden="false" customHeight="true" outlineLevel="0" collapsed="false">
      <c r="A82" s="116" t="n">
        <v>75</v>
      </c>
      <c r="B82" s="117" t="s">
        <v>131</v>
      </c>
      <c r="C82" s="118" t="s">
        <v>904</v>
      </c>
      <c r="D82" s="130" t="s">
        <v>229</v>
      </c>
      <c r="E82" s="120" t="s">
        <v>905</v>
      </c>
      <c r="F82" s="120" t="s">
        <v>906</v>
      </c>
      <c r="G82" s="121" t="s">
        <v>907</v>
      </c>
    </row>
    <row r="83" customFormat="false" ht="57.75" hidden="false" customHeight="true" outlineLevel="0" collapsed="false">
      <c r="A83" s="122" t="n">
        <v>76</v>
      </c>
      <c r="B83" s="123" t="s">
        <v>305</v>
      </c>
      <c r="C83" s="124" t="s">
        <v>908</v>
      </c>
      <c r="D83" s="130" t="s">
        <v>229</v>
      </c>
      <c r="E83" s="125" t="s">
        <v>909</v>
      </c>
      <c r="F83" s="125" t="s">
        <v>910</v>
      </c>
      <c r="G83" s="126" t="s">
        <v>911</v>
      </c>
    </row>
    <row r="84" customFormat="false" ht="57.75" hidden="false" customHeight="true" outlineLevel="0" collapsed="false">
      <c r="A84" s="116" t="n">
        <v>77</v>
      </c>
      <c r="B84" s="117" t="s">
        <v>301</v>
      </c>
      <c r="C84" s="118" t="s">
        <v>912</v>
      </c>
      <c r="D84" s="130" t="s">
        <v>229</v>
      </c>
      <c r="E84" s="120" t="s">
        <v>913</v>
      </c>
      <c r="F84" s="120" t="s">
        <v>914</v>
      </c>
      <c r="G84" s="121" t="s">
        <v>915</v>
      </c>
    </row>
    <row r="85" customFormat="false" ht="57.75" hidden="false" customHeight="true" outlineLevel="0" collapsed="false">
      <c r="A85" s="122" t="n">
        <v>78</v>
      </c>
      <c r="B85" s="123" t="s">
        <v>328</v>
      </c>
      <c r="C85" s="124" t="s">
        <v>916</v>
      </c>
      <c r="D85" s="130" t="s">
        <v>229</v>
      </c>
      <c r="E85" s="125" t="s">
        <v>917</v>
      </c>
      <c r="F85" s="125" t="s">
        <v>918</v>
      </c>
      <c r="G85" s="126" t="s">
        <v>919</v>
      </c>
    </row>
    <row r="86" customFormat="false" ht="57.75" hidden="false" customHeight="true" outlineLevel="0" collapsed="false">
      <c r="A86" s="116" t="n">
        <v>79</v>
      </c>
      <c r="B86" s="117" t="s">
        <v>313</v>
      </c>
      <c r="C86" s="118" t="s">
        <v>920</v>
      </c>
      <c r="D86" s="130" t="s">
        <v>229</v>
      </c>
      <c r="E86" s="120" t="s">
        <v>921</v>
      </c>
      <c r="F86" s="120" t="s">
        <v>922</v>
      </c>
      <c r="G86" s="121" t="s">
        <v>923</v>
      </c>
    </row>
    <row r="87" customFormat="false" ht="57.75" hidden="false" customHeight="true" outlineLevel="0" collapsed="false">
      <c r="A87" s="122" t="n">
        <v>80</v>
      </c>
      <c r="B87" s="123" t="s">
        <v>623</v>
      </c>
      <c r="C87" s="124" t="s">
        <v>924</v>
      </c>
      <c r="D87" s="130" t="s">
        <v>229</v>
      </c>
      <c r="E87" s="125" t="s">
        <v>925</v>
      </c>
      <c r="F87" s="125" t="s">
        <v>926</v>
      </c>
      <c r="G87" s="126" t="s">
        <v>927</v>
      </c>
    </row>
    <row r="88" customFormat="false" ht="57.75" hidden="false" customHeight="true" outlineLevel="0" collapsed="false">
      <c r="A88" s="116" t="n">
        <v>81</v>
      </c>
      <c r="B88" s="117" t="s">
        <v>305</v>
      </c>
      <c r="C88" s="118" t="s">
        <v>928</v>
      </c>
      <c r="D88" s="130" t="s">
        <v>229</v>
      </c>
      <c r="E88" s="120" t="s">
        <v>929</v>
      </c>
      <c r="F88" s="120" t="s">
        <v>930</v>
      </c>
      <c r="G88" s="121" t="s">
        <v>931</v>
      </c>
    </row>
    <row r="89" customFormat="false" ht="57.75" hidden="false" customHeight="true" outlineLevel="0" collapsed="false">
      <c r="A89" s="122" t="n">
        <v>82</v>
      </c>
      <c r="B89" s="123" t="s">
        <v>640</v>
      </c>
      <c r="C89" s="124" t="s">
        <v>932</v>
      </c>
      <c r="D89" s="130" t="s">
        <v>229</v>
      </c>
      <c r="E89" s="125" t="s">
        <v>933</v>
      </c>
      <c r="F89" s="125" t="s">
        <v>934</v>
      </c>
      <c r="G89" s="126" t="s">
        <v>935</v>
      </c>
    </row>
    <row r="90" customFormat="false" ht="57.75" hidden="false" customHeight="true" outlineLevel="0" collapsed="false">
      <c r="A90" s="116" t="n">
        <v>83</v>
      </c>
      <c r="B90" s="117" t="s">
        <v>131</v>
      </c>
      <c r="C90" s="118" t="s">
        <v>936</v>
      </c>
      <c r="D90" s="130" t="s">
        <v>229</v>
      </c>
      <c r="E90" s="120" t="s">
        <v>937</v>
      </c>
      <c r="F90" s="120" t="s">
        <v>938</v>
      </c>
      <c r="G90" s="121" t="s">
        <v>939</v>
      </c>
    </row>
    <row r="91" customFormat="false" ht="57.75" hidden="false" customHeight="true" outlineLevel="0" collapsed="false">
      <c r="A91" s="122" t="n">
        <v>84</v>
      </c>
      <c r="B91" s="123" t="s">
        <v>645</v>
      </c>
      <c r="C91" s="124" t="s">
        <v>940</v>
      </c>
      <c r="D91" s="130" t="s">
        <v>229</v>
      </c>
      <c r="E91" s="125" t="s">
        <v>941</v>
      </c>
      <c r="F91" s="125" t="s">
        <v>942</v>
      </c>
      <c r="G91" s="126" t="s">
        <v>943</v>
      </c>
    </row>
    <row r="92" customFormat="false" ht="57.75" hidden="false" customHeight="true" outlineLevel="0" collapsed="false">
      <c r="A92" s="116" t="n">
        <v>85</v>
      </c>
      <c r="B92" s="117" t="s">
        <v>944</v>
      </c>
      <c r="C92" s="118" t="s">
        <v>945</v>
      </c>
      <c r="D92" s="131" t="s">
        <v>231</v>
      </c>
      <c r="E92" s="120" t="s">
        <v>946</v>
      </c>
      <c r="F92" s="120" t="s">
        <v>947</v>
      </c>
      <c r="G92" s="121" t="s">
        <v>948</v>
      </c>
    </row>
    <row r="93" customFormat="false" ht="57.75" hidden="false" customHeight="true" outlineLevel="0" collapsed="false">
      <c r="A93" s="122" t="n">
        <v>86</v>
      </c>
      <c r="B93" s="123" t="s">
        <v>301</v>
      </c>
      <c r="C93" s="124" t="s">
        <v>949</v>
      </c>
      <c r="D93" s="131" t="s">
        <v>231</v>
      </c>
      <c r="E93" s="125" t="s">
        <v>950</v>
      </c>
      <c r="F93" s="125" t="s">
        <v>951</v>
      </c>
      <c r="G93" s="126" t="s">
        <v>952</v>
      </c>
    </row>
    <row r="94" customFormat="false" ht="57.75" hidden="false" customHeight="true" outlineLevel="0" collapsed="false">
      <c r="A94" s="116" t="n">
        <v>87</v>
      </c>
      <c r="B94" s="117" t="s">
        <v>131</v>
      </c>
      <c r="C94" s="118" t="s">
        <v>953</v>
      </c>
      <c r="D94" s="131" t="s">
        <v>231</v>
      </c>
      <c r="E94" s="120" t="s">
        <v>954</v>
      </c>
      <c r="F94" s="120" t="s">
        <v>955</v>
      </c>
      <c r="G94" s="121" t="s">
        <v>956</v>
      </c>
    </row>
    <row r="95" customFormat="false" ht="57.75" hidden="false" customHeight="true" outlineLevel="0" collapsed="false">
      <c r="A95" s="122" t="n">
        <v>88</v>
      </c>
      <c r="B95" s="123" t="s">
        <v>313</v>
      </c>
      <c r="C95" s="124" t="s">
        <v>957</v>
      </c>
      <c r="D95" s="131" t="s">
        <v>231</v>
      </c>
      <c r="E95" s="125" t="s">
        <v>958</v>
      </c>
      <c r="F95" s="125" t="s">
        <v>959</v>
      </c>
      <c r="G95" s="126" t="s">
        <v>960</v>
      </c>
    </row>
    <row r="96" customFormat="false" ht="57.75" hidden="false" customHeight="true" outlineLevel="0" collapsed="false">
      <c r="A96" s="116" t="n">
        <v>89</v>
      </c>
      <c r="B96" s="117" t="s">
        <v>623</v>
      </c>
      <c r="C96" s="118" t="s">
        <v>961</v>
      </c>
      <c r="D96" s="131" t="s">
        <v>231</v>
      </c>
      <c r="E96" s="120" t="s">
        <v>962</v>
      </c>
      <c r="F96" s="120" t="s">
        <v>963</v>
      </c>
      <c r="G96" s="121" t="s">
        <v>964</v>
      </c>
    </row>
    <row r="97" customFormat="false" ht="57.75" hidden="false" customHeight="true" outlineLevel="0" collapsed="false">
      <c r="A97" s="122" t="n">
        <v>90</v>
      </c>
      <c r="B97" s="123" t="s">
        <v>640</v>
      </c>
      <c r="C97" s="124" t="s">
        <v>965</v>
      </c>
      <c r="D97" s="131" t="s">
        <v>231</v>
      </c>
      <c r="E97" s="125" t="s">
        <v>966</v>
      </c>
      <c r="F97" s="125" t="s">
        <v>967</v>
      </c>
      <c r="G97" s="126" t="s">
        <v>968</v>
      </c>
    </row>
    <row r="98" customFormat="false" ht="57.75" hidden="false" customHeight="true" outlineLevel="0" collapsed="false">
      <c r="A98" s="116" t="n">
        <v>91</v>
      </c>
      <c r="B98" s="117" t="s">
        <v>301</v>
      </c>
      <c r="C98" s="118" t="s">
        <v>969</v>
      </c>
      <c r="D98" s="131" t="s">
        <v>231</v>
      </c>
      <c r="E98" s="120" t="s">
        <v>970</v>
      </c>
      <c r="F98" s="120" t="s">
        <v>971</v>
      </c>
      <c r="G98" s="121" t="s">
        <v>972</v>
      </c>
    </row>
    <row r="99" customFormat="false" ht="57.75" hidden="false" customHeight="true" outlineLevel="0" collapsed="false">
      <c r="A99" s="122" t="n">
        <v>92</v>
      </c>
      <c r="B99" s="123" t="s">
        <v>328</v>
      </c>
      <c r="C99" s="124" t="s">
        <v>973</v>
      </c>
      <c r="D99" s="131" t="s">
        <v>231</v>
      </c>
      <c r="E99" s="125" t="s">
        <v>974</v>
      </c>
      <c r="F99" s="125" t="s">
        <v>975</v>
      </c>
      <c r="G99" s="126" t="s">
        <v>976</v>
      </c>
    </row>
    <row r="100" customFormat="false" ht="57.75" hidden="false" customHeight="true" outlineLevel="0" collapsed="false">
      <c r="A100" s="116" t="n">
        <v>93</v>
      </c>
      <c r="B100" s="117" t="s">
        <v>313</v>
      </c>
      <c r="C100" s="118" t="s">
        <v>977</v>
      </c>
      <c r="D100" s="131" t="s">
        <v>231</v>
      </c>
      <c r="E100" s="120" t="s">
        <v>978</v>
      </c>
      <c r="F100" s="120" t="s">
        <v>979</v>
      </c>
      <c r="G100" s="121" t="s">
        <v>980</v>
      </c>
    </row>
    <row r="101" customFormat="false" ht="57.75" hidden="false" customHeight="true" outlineLevel="0" collapsed="false">
      <c r="A101" s="122" t="n">
        <v>94</v>
      </c>
      <c r="B101" s="123" t="s">
        <v>623</v>
      </c>
      <c r="C101" s="124" t="s">
        <v>981</v>
      </c>
      <c r="D101" s="131" t="s">
        <v>231</v>
      </c>
      <c r="E101" s="125" t="s">
        <v>982</v>
      </c>
      <c r="F101" s="125" t="s">
        <v>983</v>
      </c>
      <c r="G101" s="126" t="s">
        <v>984</v>
      </c>
    </row>
    <row r="102" customFormat="false" ht="57.75" hidden="false" customHeight="true" outlineLevel="0" collapsed="false">
      <c r="A102" s="116" t="n">
        <v>95</v>
      </c>
      <c r="B102" s="117" t="s">
        <v>131</v>
      </c>
      <c r="C102" s="118" t="s">
        <v>985</v>
      </c>
      <c r="D102" s="131" t="s">
        <v>231</v>
      </c>
      <c r="E102" s="120" t="s">
        <v>986</v>
      </c>
      <c r="F102" s="120" t="s">
        <v>987</v>
      </c>
      <c r="G102" s="121" t="s">
        <v>988</v>
      </c>
    </row>
    <row r="103" customFormat="false" ht="57.75" hidden="false" customHeight="true" outlineLevel="0" collapsed="false">
      <c r="A103" s="122" t="n">
        <v>96</v>
      </c>
      <c r="B103" s="123" t="s">
        <v>301</v>
      </c>
      <c r="C103" s="124" t="s">
        <v>989</v>
      </c>
      <c r="D103" s="131" t="s">
        <v>231</v>
      </c>
      <c r="E103" s="125" t="s">
        <v>990</v>
      </c>
      <c r="F103" s="125" t="s">
        <v>991</v>
      </c>
      <c r="G103" s="126" t="s">
        <v>992</v>
      </c>
    </row>
    <row r="104" customFormat="false" ht="57.75" hidden="false" customHeight="true" outlineLevel="0" collapsed="false">
      <c r="A104" s="116" t="n">
        <v>97</v>
      </c>
      <c r="B104" s="117" t="s">
        <v>305</v>
      </c>
      <c r="C104" s="118" t="s">
        <v>993</v>
      </c>
      <c r="D104" s="131" t="s">
        <v>231</v>
      </c>
      <c r="E104" s="120" t="s">
        <v>994</v>
      </c>
      <c r="F104" s="120" t="s">
        <v>995</v>
      </c>
      <c r="G104" s="121" t="s">
        <v>996</v>
      </c>
    </row>
    <row r="105" customFormat="false" ht="57.75" hidden="false" customHeight="true" outlineLevel="0" collapsed="false">
      <c r="A105" s="122" t="n">
        <v>98</v>
      </c>
      <c r="B105" s="123" t="s">
        <v>640</v>
      </c>
      <c r="C105" s="124" t="s">
        <v>997</v>
      </c>
      <c r="D105" s="131" t="s">
        <v>231</v>
      </c>
      <c r="E105" s="125" t="s">
        <v>998</v>
      </c>
      <c r="F105" s="125" t="s">
        <v>999</v>
      </c>
      <c r="G105" s="126" t="s">
        <v>1000</v>
      </c>
    </row>
    <row r="106" customFormat="false" ht="57.75" hidden="false" customHeight="true" outlineLevel="0" collapsed="false">
      <c r="A106" s="116" t="n">
        <v>99</v>
      </c>
      <c r="B106" s="117" t="s">
        <v>623</v>
      </c>
      <c r="C106" s="118" t="s">
        <v>1001</v>
      </c>
      <c r="D106" s="131" t="s">
        <v>231</v>
      </c>
      <c r="E106" s="120" t="s">
        <v>1002</v>
      </c>
      <c r="F106" s="120" t="s">
        <v>1003</v>
      </c>
      <c r="G106" s="121" t="s">
        <v>1004</v>
      </c>
    </row>
    <row r="107" customFormat="false" ht="57.75" hidden="false" customHeight="true" outlineLevel="0" collapsed="false">
      <c r="A107" s="122" t="n">
        <v>100</v>
      </c>
      <c r="B107" s="123" t="s">
        <v>645</v>
      </c>
      <c r="C107" s="124" t="s">
        <v>1005</v>
      </c>
      <c r="D107" s="131" t="s">
        <v>231</v>
      </c>
      <c r="E107" s="125" t="s">
        <v>1006</v>
      </c>
      <c r="F107" s="125" t="s">
        <v>1007</v>
      </c>
      <c r="G107" s="126" t="s">
        <v>1008</v>
      </c>
    </row>
  </sheetData>
  <mergeCells count="5">
    <mergeCell ref="A1:G1"/>
    <mergeCell ref="A2:G2"/>
    <mergeCell ref="A3:G3"/>
    <mergeCell ref="A5:G5"/>
    <mergeCell ref="A6:G6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261E"/>
    <pageSetUpPr fitToPage="true"/>
  </sheetPr>
  <dimension ref="A1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30"/>
  </cols>
  <sheetData>
    <row r="1" customFormat="false" ht="19.5" hidden="false" customHeight="true" outlineLevel="0" collapsed="false">
      <c r="A1" s="132" t="s">
        <v>31</v>
      </c>
      <c r="B1" s="132"/>
      <c r="C1" s="132"/>
    </row>
    <row r="2" customFormat="false" ht="36" hidden="false" customHeight="true" outlineLevel="0" collapsed="false">
      <c r="A2" s="2" t="s">
        <v>1009</v>
      </c>
      <c r="B2" s="2"/>
      <c r="C2" s="2"/>
    </row>
    <row r="3" customFormat="false" ht="30" hidden="false" customHeight="true" outlineLevel="0" collapsed="false">
      <c r="A3" s="3" t="s">
        <v>1010</v>
      </c>
      <c r="B3" s="3"/>
      <c r="C3" s="3"/>
    </row>
    <row r="4" customFormat="false" ht="7.5" hidden="false" customHeight="true" outlineLevel="0" collapsed="false"/>
    <row r="5" customFormat="false" ht="21.75" hidden="false" customHeight="true" outlineLevel="0" collapsed="false">
      <c r="A5" s="133" t="s">
        <v>1011</v>
      </c>
      <c r="B5" s="133"/>
      <c r="C5" s="133"/>
    </row>
    <row r="6" customFormat="false" ht="21.75" hidden="false" customHeight="true" outlineLevel="0" collapsed="false">
      <c r="A6" s="10" t="s">
        <v>1012</v>
      </c>
      <c r="B6" s="10" t="s">
        <v>1013</v>
      </c>
      <c r="C6" s="10" t="s">
        <v>1014</v>
      </c>
    </row>
    <row r="7" customFormat="false" ht="63.75" hidden="false" customHeight="true" outlineLevel="0" collapsed="false">
      <c r="A7" s="134" t="s">
        <v>1015</v>
      </c>
      <c r="B7" s="60" t="s">
        <v>1016</v>
      </c>
      <c r="C7" s="135" t="s">
        <v>327</v>
      </c>
    </row>
    <row r="8" customFormat="false" ht="63.75" hidden="false" customHeight="true" outlineLevel="0" collapsed="false">
      <c r="A8" s="136" t="s">
        <v>1017</v>
      </c>
      <c r="B8" s="63" t="s">
        <v>1018</v>
      </c>
      <c r="C8" s="137" t="s">
        <v>338</v>
      </c>
    </row>
    <row r="9" customFormat="false" ht="63.75" hidden="false" customHeight="true" outlineLevel="0" collapsed="false">
      <c r="A9" s="134" t="s">
        <v>1019</v>
      </c>
      <c r="B9" s="60" t="s">
        <v>1020</v>
      </c>
      <c r="C9" s="137" t="s">
        <v>338</v>
      </c>
    </row>
    <row r="10" customFormat="false" ht="63.75" hidden="false" customHeight="true" outlineLevel="0" collapsed="false">
      <c r="A10" s="136" t="s">
        <v>1021</v>
      </c>
      <c r="B10" s="63" t="s">
        <v>1022</v>
      </c>
      <c r="C10" s="137" t="s">
        <v>338</v>
      </c>
    </row>
    <row r="11" customFormat="false" ht="63.75" hidden="false" customHeight="true" outlineLevel="0" collapsed="false">
      <c r="A11" s="134" t="s">
        <v>1023</v>
      </c>
      <c r="B11" s="60" t="s">
        <v>1024</v>
      </c>
      <c r="C11" s="135" t="s">
        <v>327</v>
      </c>
    </row>
    <row r="12" customFormat="false" ht="63.75" hidden="false" customHeight="true" outlineLevel="0" collapsed="false">
      <c r="A12" s="136" t="s">
        <v>1025</v>
      </c>
      <c r="B12" s="63" t="s">
        <v>1026</v>
      </c>
      <c r="C12" s="138" t="s">
        <v>1027</v>
      </c>
    </row>
    <row r="14" customFormat="false" ht="21.75" hidden="false" customHeight="true" outlineLevel="0" collapsed="false">
      <c r="A14" s="23" t="s">
        <v>1028</v>
      </c>
      <c r="B14" s="23"/>
      <c r="C14" s="23"/>
    </row>
    <row r="15" customFormat="false" ht="21.75" hidden="false" customHeight="true" outlineLevel="0" collapsed="false">
      <c r="A15" s="10" t="s">
        <v>1029</v>
      </c>
      <c r="B15" s="10" t="s">
        <v>1030</v>
      </c>
      <c r="C15" s="10" t="s">
        <v>1031</v>
      </c>
    </row>
    <row r="16" customFormat="false" ht="45.75" hidden="false" customHeight="true" outlineLevel="0" collapsed="false">
      <c r="A16" s="77" t="s">
        <v>1032</v>
      </c>
      <c r="B16" s="60" t="s">
        <v>1033</v>
      </c>
      <c r="C16" s="139" t="s">
        <v>1034</v>
      </c>
    </row>
    <row r="17" customFormat="false" ht="45.75" hidden="false" customHeight="true" outlineLevel="0" collapsed="false">
      <c r="A17" s="79" t="s">
        <v>531</v>
      </c>
      <c r="B17" s="63" t="s">
        <v>1035</v>
      </c>
      <c r="C17" s="139" t="s">
        <v>1034</v>
      </c>
    </row>
    <row r="18" customFormat="false" ht="45.75" hidden="false" customHeight="true" outlineLevel="0" collapsed="false">
      <c r="A18" s="77" t="s">
        <v>1036</v>
      </c>
      <c r="B18" s="60" t="s">
        <v>1037</v>
      </c>
      <c r="C18" s="138" t="s">
        <v>327</v>
      </c>
    </row>
    <row r="19" customFormat="false" ht="45.75" hidden="false" customHeight="true" outlineLevel="0" collapsed="false">
      <c r="A19" s="79" t="s">
        <v>1038</v>
      </c>
      <c r="B19" s="63" t="s">
        <v>1039</v>
      </c>
      <c r="C19" s="138" t="s">
        <v>327</v>
      </c>
    </row>
    <row r="20" customFormat="false" ht="45.75" hidden="false" customHeight="true" outlineLevel="0" collapsed="false">
      <c r="A20" s="77" t="s">
        <v>1040</v>
      </c>
      <c r="B20" s="60" t="s">
        <v>1041</v>
      </c>
      <c r="C20" s="139" t="s">
        <v>1034</v>
      </c>
    </row>
    <row r="21" customFormat="false" ht="45.75" hidden="false" customHeight="true" outlineLevel="0" collapsed="false">
      <c r="A21" s="79" t="s">
        <v>1042</v>
      </c>
      <c r="B21" s="63" t="s">
        <v>1043</v>
      </c>
      <c r="C21" s="138" t="s">
        <v>327</v>
      </c>
    </row>
    <row r="22" customFormat="false" ht="45.75" hidden="false" customHeight="true" outlineLevel="0" collapsed="false">
      <c r="A22" s="77" t="s">
        <v>1044</v>
      </c>
      <c r="B22" s="60" t="s">
        <v>1045</v>
      </c>
      <c r="C22" s="137" t="s">
        <v>338</v>
      </c>
    </row>
    <row r="24" customFormat="false" ht="21.75" hidden="false" customHeight="true" outlineLevel="0" collapsed="false">
      <c r="A24" s="133" t="s">
        <v>1046</v>
      </c>
      <c r="B24" s="133"/>
      <c r="C24" s="133"/>
    </row>
    <row r="25" customFormat="false" ht="21.75" hidden="false" customHeight="true" outlineLevel="0" collapsed="false">
      <c r="A25" s="10" t="s">
        <v>1047</v>
      </c>
      <c r="B25" s="10" t="s">
        <v>1048</v>
      </c>
      <c r="C25" s="10" t="s">
        <v>1049</v>
      </c>
    </row>
    <row r="26" customFormat="false" ht="39.75" hidden="false" customHeight="true" outlineLevel="0" collapsed="false">
      <c r="A26" s="140" t="s">
        <v>1050</v>
      </c>
      <c r="B26" s="60" t="s">
        <v>1051</v>
      </c>
      <c r="C26" s="141" t="s">
        <v>1052</v>
      </c>
    </row>
    <row r="27" customFormat="false" ht="39.75" hidden="false" customHeight="true" outlineLevel="0" collapsed="false">
      <c r="A27" s="142" t="s">
        <v>1053</v>
      </c>
      <c r="B27" s="63" t="s">
        <v>1054</v>
      </c>
      <c r="C27" s="143" t="s">
        <v>1055</v>
      </c>
    </row>
    <row r="28" customFormat="false" ht="39.75" hidden="false" customHeight="true" outlineLevel="0" collapsed="false">
      <c r="A28" s="140" t="s">
        <v>1056</v>
      </c>
      <c r="B28" s="60" t="s">
        <v>1057</v>
      </c>
      <c r="C28" s="141" t="s">
        <v>1058</v>
      </c>
    </row>
    <row r="29" customFormat="false" ht="39.75" hidden="false" customHeight="true" outlineLevel="0" collapsed="false">
      <c r="A29" s="142" t="s">
        <v>1059</v>
      </c>
      <c r="B29" s="63" t="s">
        <v>1060</v>
      </c>
      <c r="C29" s="143" t="s">
        <v>1061</v>
      </c>
    </row>
    <row r="30" customFormat="false" ht="39.75" hidden="false" customHeight="true" outlineLevel="0" collapsed="false">
      <c r="A30" s="140" t="s">
        <v>1062</v>
      </c>
      <c r="B30" s="60" t="s">
        <v>1063</v>
      </c>
      <c r="C30" s="141" t="s">
        <v>1064</v>
      </c>
    </row>
    <row r="31" customFormat="false" ht="39.75" hidden="false" customHeight="true" outlineLevel="0" collapsed="false">
      <c r="A31" s="142" t="s">
        <v>1065</v>
      </c>
      <c r="B31" s="63" t="s">
        <v>1066</v>
      </c>
      <c r="C31" s="143" t="s">
        <v>1067</v>
      </c>
    </row>
    <row r="32" customFormat="false" ht="39.75" hidden="false" customHeight="true" outlineLevel="0" collapsed="false">
      <c r="A32" s="140" t="s">
        <v>1068</v>
      </c>
      <c r="B32" s="60" t="s">
        <v>1069</v>
      </c>
      <c r="C32" s="141" t="s">
        <v>1070</v>
      </c>
    </row>
    <row r="33" customFormat="false" ht="39.75" hidden="false" customHeight="true" outlineLevel="0" collapsed="false">
      <c r="A33" s="142" t="s">
        <v>1071</v>
      </c>
      <c r="B33" s="63" t="s">
        <v>1072</v>
      </c>
      <c r="C33" s="143" t="s">
        <v>1073</v>
      </c>
    </row>
    <row r="35" customFormat="false" ht="30" hidden="false" customHeight="true" outlineLevel="0" collapsed="false">
      <c r="A35" s="56" t="s">
        <v>1074</v>
      </c>
      <c r="B35" s="56"/>
      <c r="C35" s="56"/>
    </row>
  </sheetData>
  <mergeCells count="7">
    <mergeCell ref="A1:C1"/>
    <mergeCell ref="A2:C2"/>
    <mergeCell ref="A3:C3"/>
    <mergeCell ref="A5:C5"/>
    <mergeCell ref="A14:C14"/>
    <mergeCell ref="A24:C24"/>
    <mergeCell ref="A35:C35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2026-06-21T12:56:43Z</dcterms:created>
  <dc:creator>openpyxl</dc:creator>
  <dc:description/>
  <dc:language>en-US</dc:language>
  <cp:lastModifiedBy/>
  <dcterms:modified xsi:type="dcterms:W3CDTF">2026-06-21T12:56:43Z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