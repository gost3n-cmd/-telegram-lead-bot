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🏠 Home" sheetId="1" state="visible" r:id="rId1"/>
    <sheet name="🎯 01 Strategy" sheetId="2" state="visible" r:id="rId2"/>
    <sheet name="📱 02 Accounts" sheetId="3" state="visible" r:id="rId3"/>
    <sheet name="🧠 03 Psychology" sheetId="4" state="visible" r:id="rId4"/>
    <sheet name="🎬 04 Content Engine" sheetId="5" state="visible" r:id="rId5"/>
    <sheet name="⚙️ 05 Pipeline" sheetId="6" state="visible" r:id="rId6"/>
    <sheet name="👥 06 Team" sheetId="7" state="visible" r:id="rId7"/>
    <sheet name="🛠️ 07 AI Stack" sheetId="8" state="visible" r:id="rId8"/>
    <sheet name="📈 08 KPI Dashboard" sheetId="9" state="visible" r:id="rId9"/>
    <sheet name="📚 09 Content Bank" sheetId="10" state="visible" r:id="rId10"/>
    <sheet name="🔬 10 Reality Check" sheetId="11" state="visible" r:id="rId11"/>
    <sheet name="Leads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i val="1"/>
      <color rgb="FF64748B"/>
      <sz val="10"/>
    </font>
    <font>
      <name val="Calibri"/>
      <charset val="1"/>
      <family val="0"/>
      <b val="1"/>
      <color rgb="FFFFFFFF"/>
      <sz val="10.5"/>
    </font>
    <font>
      <name val="Calibri"/>
      <charset val="1"/>
      <family val="0"/>
      <color rgb="FF1E293B"/>
      <sz val="10"/>
    </font>
    <font>
      <name val="Calibri"/>
      <charset val="1"/>
      <family val="0"/>
      <b val="1"/>
      <color rgb="FF2453E0"/>
      <sz val="10"/>
    </font>
    <font>
      <name val="Calibri"/>
      <charset val="1"/>
      <family val="0"/>
      <b val="1"/>
      <color rgb="FFFFFFFF"/>
      <sz val="9.5"/>
    </font>
    <font>
      <name val="Calibri"/>
      <charset val="1"/>
      <family val="0"/>
      <b val="1"/>
      <color rgb="FF1E293B"/>
      <sz val="10"/>
    </font>
    <font>
      <name val="Calibri"/>
      <charset val="1"/>
      <family val="0"/>
      <color rgb="FF1E293B"/>
      <sz val="9.5"/>
    </font>
    <font>
      <name val="Calibri"/>
      <charset val="1"/>
      <family val="0"/>
      <i val="1"/>
      <color rgb="FF64748B"/>
      <sz val="9"/>
    </font>
    <font>
      <name val="Calibri"/>
      <charset val="1"/>
      <family val="0"/>
      <i val="1"/>
      <color rgb="FF1E293B"/>
      <sz val="8.5"/>
    </font>
    <font>
      <name val="Calibri"/>
      <charset val="1"/>
      <family val="0"/>
      <b val="1"/>
      <color rgb="FF2453E0"/>
      <sz val="9.5"/>
    </font>
    <font>
      <name val="Calibri"/>
      <charset val="1"/>
      <family val="0"/>
      <color rgb="FF1E293B"/>
      <sz val="9"/>
    </font>
    <font>
      <name val="Calibri"/>
      <charset val="1"/>
      <family val="0"/>
      <b val="1"/>
      <color rgb="FF0F172A"/>
      <sz val="10"/>
    </font>
    <font>
      <name val="Calibri"/>
      <charset val="1"/>
      <family val="0"/>
      <b val="1"/>
      <color rgb="FF2453E0"/>
      <sz val="9"/>
    </font>
    <font>
      <name val="Calibri"/>
      <charset val="1"/>
      <family val="0"/>
      <b val="1"/>
      <color rgb="FF147D4B"/>
      <sz val="10"/>
    </font>
    <font>
      <name val="Calibri"/>
      <charset val="1"/>
      <family val="0"/>
      <b val="1"/>
      <color rgb="FFB5650A"/>
      <sz val="9"/>
    </font>
    <font>
      <name val="Calibri"/>
      <charset val="1"/>
      <family val="0"/>
      <b val="1"/>
      <color rgb="FF147D4B"/>
      <sz val="9"/>
    </font>
    <font>
      <name val="Calibri"/>
      <charset val="1"/>
      <family val="0"/>
      <b val="1"/>
      <color rgb="FFB3261E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i val="1"/>
      <color rgb="FFFFFFFF"/>
      <sz val="8.5"/>
    </font>
    <font>
      <name val="Calibri"/>
      <charset val="1"/>
      <family val="0"/>
      <color rgb="FFFFFFFF"/>
      <sz val="8.5"/>
    </font>
    <font>
      <name val="Calibri"/>
      <charset val="1"/>
      <family val="0"/>
      <i val="1"/>
      <color rgb="FF64748B"/>
      <sz val="8.5"/>
    </font>
    <font>
      <name val="Calibri"/>
      <charset val="1"/>
      <family val="0"/>
      <b val="1"/>
      <color rgb="FF6B3FA0"/>
      <sz val="9.5"/>
    </font>
    <font>
      <name val="Calibri"/>
      <charset val="1"/>
      <family val="0"/>
      <color rgb="FF1E293B"/>
      <sz val="8.5"/>
    </font>
    <font>
      <name val="Calibri"/>
      <charset val="1"/>
      <family val="0"/>
      <b val="1"/>
      <color rgb="FF64748B"/>
      <sz val="9"/>
    </font>
    <font>
      <name val="Calibri"/>
      <charset val="1"/>
      <family val="0"/>
      <b val="1"/>
      <color rgb="FF0E7C7B"/>
      <sz val="10"/>
    </font>
    <font>
      <name val="Calibri"/>
      <charset val="1"/>
      <family val="0"/>
      <b val="1"/>
      <color rgb="FF6B3FA0"/>
      <sz val="8.5"/>
    </font>
    <font>
      <name val="Calibri"/>
      <charset val="1"/>
      <family val="0"/>
      <b val="1"/>
      <color rgb="FF0E7C7B"/>
      <sz val="9.5"/>
    </font>
    <font>
      <name val="Calibri"/>
      <charset val="1"/>
      <family val="0"/>
      <b val="1"/>
      <color rgb="FF1E293B"/>
      <sz val="9"/>
    </font>
    <font>
      <name val="Calibri"/>
      <charset val="1"/>
      <family val="0"/>
      <b val="1"/>
      <color rgb="FF2453E0"/>
      <sz val="8.800000000000001"/>
    </font>
    <font>
      <name val="Calibri"/>
      <charset val="1"/>
      <family val="0"/>
      <color rgb="FF1E293B"/>
      <sz val="8.800000000000001"/>
    </font>
    <font>
      <name val="Calibri"/>
      <charset val="1"/>
      <family val="0"/>
      <b val="1"/>
      <color rgb="FFB5650A"/>
      <sz val="8.800000000000001"/>
    </font>
    <font>
      <name val="Calibri"/>
      <charset val="1"/>
      <family val="0"/>
      <b val="1"/>
      <color rgb="FF147D4B"/>
      <sz val="8.800000000000001"/>
    </font>
    <font>
      <name val="Calibri"/>
      <charset val="1"/>
      <family val="0"/>
      <b val="1"/>
      <color rgb="FFB3261E"/>
      <sz val="8.800000000000001"/>
    </font>
    <font>
      <name val="Calibri"/>
      <charset val="1"/>
      <family val="0"/>
      <i val="1"/>
      <color rgb="FF64748B"/>
      <sz val="8.300000000000001"/>
    </font>
    <font>
      <name val="Calibri"/>
      <charset val="1"/>
      <family val="0"/>
      <color rgb="FF2453E0"/>
      <sz val="9"/>
    </font>
    <font>
      <name val="Calibri"/>
      <charset val="1"/>
      <family val="0"/>
      <color rgb="FF1E293B"/>
      <sz val="8.300000000000001"/>
    </font>
    <font>
      <name val="Calibri"/>
      <charset val="1"/>
      <family val="0"/>
      <b val="1"/>
      <color rgb="FF2453E0"/>
      <sz val="8.5"/>
    </font>
    <font>
      <name val="Calibri"/>
      <charset val="1"/>
      <family val="0"/>
      <b val="1"/>
      <color rgb="FF1E293B"/>
      <sz val="8.300000000000001"/>
    </font>
    <font>
      <name val="Calibri"/>
      <charset val="1"/>
      <family val="0"/>
      <b val="1"/>
      <color rgb="FF0F172A"/>
      <sz val="8.5"/>
    </font>
    <font>
      <name val="Calibri"/>
      <charset val="1"/>
      <family val="0"/>
      <b val="1"/>
      <color rgb="FF1B4DA6"/>
      <sz val="8.300000000000001"/>
    </font>
    <font>
      <name val="Calibri"/>
      <charset val="1"/>
      <family val="0"/>
      <color rgb="FF1E293B"/>
      <sz val="8"/>
    </font>
    <font>
      <name val="Calibri"/>
      <charset val="1"/>
      <family val="0"/>
      <i val="1"/>
      <color rgb="FF64748B"/>
      <sz val="8"/>
    </font>
    <font>
      <name val="Calibri"/>
      <charset val="1"/>
      <family val="0"/>
      <b val="1"/>
      <color rgb="FF8A5A00"/>
      <sz val="8.300000000000001"/>
    </font>
    <font>
      <name val="Calibri"/>
      <charset val="1"/>
      <family val="0"/>
      <b val="1"/>
      <color rgb="FF5B3489"/>
      <sz val="8.300000000000001"/>
    </font>
    <font>
      <name val="Calibri"/>
      <charset val="1"/>
      <family val="0"/>
      <b val="1"/>
      <color rgb="FF0B6360"/>
      <sz val="8.300000000000001"/>
    </font>
    <font>
      <name val="Calibri"/>
      <charset val="1"/>
      <family val="0"/>
      <b val="1"/>
      <color rgb="FF9C2A24"/>
      <sz val="8.300000000000001"/>
    </font>
    <font>
      <name val="Calibri"/>
      <charset val="1"/>
      <family val="0"/>
      <b val="1"/>
      <color rgb="FF10663F"/>
      <sz val="8.300000000000001"/>
    </font>
    <font>
      <name val="Calibri"/>
      <charset val="1"/>
      <family val="0"/>
      <b val="1"/>
      <color rgb="FFB3261E"/>
      <sz val="10"/>
    </font>
    <font>
      <name val="Calibri"/>
      <charset val="1"/>
      <family val="0"/>
      <b val="1"/>
      <color rgb="FFB5650A"/>
      <sz val="10"/>
    </font>
  </fonts>
  <fills count="22">
    <fill>
      <patternFill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FFFFFF"/>
        <bgColor rgb="FFF4F6F9"/>
      </patternFill>
    </fill>
    <fill>
      <patternFill patternType="solid">
        <fgColor rgb="FFF4F6F9"/>
        <bgColor rgb="FFEAF0FE"/>
      </patternFill>
    </fill>
    <fill>
      <patternFill patternType="solid">
        <fgColor rgb="FFEAF0FE"/>
        <bgColor rgb="FFE7F6EE"/>
      </patternFill>
    </fill>
    <fill>
      <patternFill patternType="solid">
        <fgColor rgb="FF1E293B"/>
        <bgColor rgb="FF0F172A"/>
      </patternFill>
    </fill>
    <fill>
      <patternFill patternType="solid">
        <fgColor rgb="FF2453E0"/>
        <bgColor rgb="FF1B4DA6"/>
      </patternFill>
    </fill>
    <fill>
      <patternFill patternType="solid">
        <fgColor rgb="FF6B3FA0"/>
        <bgColor rgb="FF5B3489"/>
      </patternFill>
    </fill>
    <fill>
      <patternFill patternType="solid">
        <fgColor rgb="FF0E7C7B"/>
        <bgColor rgb="FF147D4B"/>
      </patternFill>
    </fill>
    <fill>
      <patternFill patternType="solid">
        <fgColor rgb="FFB5650A"/>
        <bgColor rgb="FF8A5A00"/>
      </patternFill>
    </fill>
    <fill>
      <patternFill patternType="solid">
        <fgColor rgb="FF147D4B"/>
        <bgColor rgb="FF0E7C7B"/>
      </patternFill>
    </fill>
    <fill>
      <patternFill patternType="solid">
        <fgColor rgb="FFB3261E"/>
        <bgColor rgb="FF9C2A24"/>
      </patternFill>
    </fill>
    <fill>
      <patternFill patternType="solid">
        <fgColor rgb="FFFDF1E2"/>
        <bgColor rgb="FFFBEAE9"/>
      </patternFill>
    </fill>
    <fill>
      <patternFill patternType="solid">
        <fgColor rgb="FFE7F6EE"/>
        <bgColor rgb="FFDFF3E8"/>
      </patternFill>
    </fill>
    <fill>
      <patternFill patternType="solid">
        <fgColor rgb="FFFBEAE9"/>
        <bgColor rgb="FFFDF1E2"/>
      </patternFill>
    </fill>
    <fill>
      <patternFill patternType="solid">
        <fgColor rgb="FFD9E6FB"/>
        <bgColor rgb="FFD8F0EF"/>
      </patternFill>
    </fill>
    <fill>
      <patternFill patternType="solid">
        <fgColor rgb="FFFBE8C7"/>
        <bgColor rgb="FFFBE2E0"/>
      </patternFill>
    </fill>
    <fill>
      <patternFill patternType="solid">
        <fgColor rgb="FFECE0F8"/>
        <bgColor rgb="FFD9E6FB"/>
      </patternFill>
    </fill>
    <fill>
      <patternFill patternType="solid">
        <fgColor rgb="FFD8F0EF"/>
        <bgColor rgb="FFDFF3E8"/>
      </patternFill>
    </fill>
    <fill>
      <patternFill patternType="solid">
        <fgColor rgb="FFFBE2E0"/>
        <bgColor rgb="FFFBEAE9"/>
      </patternFill>
    </fill>
    <fill>
      <patternFill patternType="solid">
        <fgColor rgb="FFDFF3E8"/>
        <bgColor rgb="FFD8F0EF"/>
      </patternFill>
    </fill>
  </fills>
  <borders count="5">
    <border>
      <left/>
      <right/>
      <top/>
      <bottom/>
      <diagonal/>
    </border>
    <border>
      <left style="thin">
        <color rgb="FFD9DEE6"/>
      </left>
      <right style="thin">
        <color rgb="FFD9DEE6"/>
      </right>
      <top style="thin">
        <color rgb="FFD9DEE6"/>
      </top>
      <bottom style="thin">
        <color rgb="FFD9DEE6"/>
      </bottom>
      <diagonal/>
    </border>
    <border>
      <left style="thin">
        <color rgb="FFD9DEE6"/>
      </left>
      <right/>
      <top style="thin">
        <color rgb="FFD9DEE6"/>
      </top>
      <bottom style="thin">
        <color rgb="FFD9DEE6"/>
      </bottom>
      <diagonal/>
    </border>
    <border>
      <left/>
      <right/>
      <top style="thin">
        <color rgb="FFD9DEE6"/>
      </top>
      <bottom/>
      <diagonal/>
    </border>
    <border>
      <left/>
      <right/>
      <top style="thin">
        <color rgb="FFD9DEE6"/>
      </top>
      <bottom style="thin">
        <color rgb="FFD9DEE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wrapText="1" indent="1"/>
    </xf>
    <xf numFmtId="0" fontId="5" fillId="2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2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left" vertical="center" wrapText="1"/>
    </xf>
    <xf numFmtId="0" fontId="8" fillId="11" borderId="0" applyAlignment="1" pivotButton="0" quotePrefix="0" xfId="0">
      <alignment horizontal="left" vertical="center" wrapText="1"/>
    </xf>
    <xf numFmtId="0" fontId="8" fillId="12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 indent="1"/>
    </xf>
    <xf numFmtId="0" fontId="14" fillId="4" borderId="0" applyAlignment="1" pivotButton="0" quotePrefix="0" xfId="0">
      <alignment horizontal="left" vertical="center" wrapText="1" indent="1"/>
    </xf>
    <xf numFmtId="0" fontId="14" fillId="3" borderId="0" applyAlignment="1" pivotButton="0" quotePrefix="0" xfId="0">
      <alignment horizontal="left" vertical="center" wrapText="1" indent="1"/>
    </xf>
    <xf numFmtId="0" fontId="4" fillId="7" borderId="0" applyAlignment="1" pivotButton="0" quotePrefix="0" xfId="0">
      <alignment horizontal="left" vertical="center" wrapText="1" indent="1"/>
    </xf>
    <xf numFmtId="0" fontId="7" fillId="7" borderId="0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left" vertical="center" wrapText="1"/>
    </xf>
    <xf numFmtId="3" fontId="9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3" fontId="9" fillId="4" borderId="1" applyAlignment="1" pivotButton="0" quotePrefix="0" xfId="0">
      <alignment horizontal="center" vertical="center" wrapText="1"/>
    </xf>
    <xf numFmtId="3" fontId="9" fillId="3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 wrapText="1"/>
    </xf>
    <xf numFmtId="0" fontId="16" fillId="4" borderId="2" applyAlignment="1" pivotButton="0" quotePrefix="0" xfId="0">
      <alignment horizontal="left" vertical="center" wrapText="1"/>
    </xf>
    <xf numFmtId="0" fontId="16" fillId="3" borderId="2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center" vertical="center" wrapText="1"/>
    </xf>
    <xf numFmtId="3" fontId="19" fillId="4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left" vertical="center" wrapText="1"/>
    </xf>
    <xf numFmtId="3" fontId="19" fillId="3" borderId="1" applyAlignment="1" pivotButton="0" quotePrefix="0" xfId="0">
      <alignment horizontal="center" vertical="center" wrapText="1"/>
    </xf>
    <xf numFmtId="0" fontId="20" fillId="13" borderId="1" applyAlignment="1" pivotButton="0" quotePrefix="0" xfId="0">
      <alignment horizontal="center" vertical="center" wrapText="1"/>
    </xf>
    <xf numFmtId="0" fontId="21" fillId="14" borderId="1" applyAlignment="1" pivotButton="0" quotePrefix="0" xfId="0">
      <alignment horizontal="center" vertical="center" wrapText="1"/>
    </xf>
    <xf numFmtId="0" fontId="22" fillId="15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right" vertical="center" wrapText="1" indent="1"/>
    </xf>
    <xf numFmtId="0" fontId="23" fillId="2" borderId="1" applyAlignment="1" pivotButton="0" quotePrefix="0" xfId="0">
      <alignment horizontal="center" vertical="center" wrapText="1"/>
    </xf>
    <xf numFmtId="0" fontId="24" fillId="2" borderId="0" applyAlignment="1" pivotButton="0" quotePrefix="0" xfId="0">
      <alignment horizontal="left" vertical="center" wrapText="1" indent="1"/>
    </xf>
    <xf numFmtId="0" fontId="25" fillId="2" borderId="0" applyAlignment="1" pivotButton="0" quotePrefix="0" xfId="0">
      <alignment horizontal="right" vertical="center" wrapText="1"/>
    </xf>
    <xf numFmtId="3" fontId="23" fillId="2" borderId="1" applyAlignment="1" pivotButton="0" quotePrefix="0" xfId="0">
      <alignment horizontal="center" vertical="center" wrapText="1"/>
    </xf>
    <xf numFmtId="0" fontId="26" fillId="3" borderId="0" applyAlignment="1" pivotButton="0" quotePrefix="0" xfId="0">
      <alignment horizontal="left" vertical="center" wrapText="1" indent="1"/>
    </xf>
    <xf numFmtId="0" fontId="4" fillId="8" borderId="0" applyAlignment="1" pivotButton="0" quotePrefix="0" xfId="0">
      <alignment horizontal="left" vertical="center" wrapText="1" indent="1"/>
    </xf>
    <xf numFmtId="0" fontId="7" fillId="8" borderId="0" applyAlignment="1" pivotButton="0" quotePrefix="0" xfId="0">
      <alignment horizontal="left" vertical="center" wrapText="1" indent="1"/>
    </xf>
    <xf numFmtId="0" fontId="27" fillId="4" borderId="1" applyAlignment="1" pivotButton="0" quotePrefix="0" xfId="0">
      <alignment horizontal="left" vertical="center" wrapText="1"/>
    </xf>
    <xf numFmtId="0" fontId="28" fillId="4" borderId="1" applyAlignment="1" pivotButton="0" quotePrefix="0" xfId="0">
      <alignment horizontal="left" vertical="center" wrapText="1"/>
    </xf>
    <xf numFmtId="0" fontId="26" fillId="4" borderId="1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left" vertical="center" wrapText="1"/>
    </xf>
    <xf numFmtId="0" fontId="28" fillId="3" borderId="1" applyAlignment="1" pivotButton="0" quotePrefix="0" xfId="0">
      <alignment horizontal="left" vertical="center" wrapText="1"/>
    </xf>
    <xf numFmtId="0" fontId="26" fillId="3" borderId="1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left" vertical="center" wrapText="1"/>
    </xf>
    <xf numFmtId="0" fontId="29" fillId="4" borderId="1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 wrapText="1" indent="1"/>
    </xf>
    <xf numFmtId="0" fontId="7" fillId="9" borderId="0" applyAlignment="1" pivotButton="0" quotePrefix="0" xfId="0">
      <alignment horizontal="left" vertical="center" wrapText="1" indent="1"/>
    </xf>
    <xf numFmtId="0" fontId="30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30" fillId="3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left" vertical="center" wrapText="1"/>
    </xf>
    <xf numFmtId="0" fontId="31" fillId="4" borderId="1" applyAlignment="1" pivotButton="0" quotePrefix="0" xfId="0">
      <alignment horizontal="left" vertical="center" wrapText="1"/>
    </xf>
    <xf numFmtId="0" fontId="31" fillId="3" borderId="1" applyAlignment="1" pivotButton="0" quotePrefix="0" xfId="0">
      <alignment horizontal="left" vertical="center" wrapText="1"/>
    </xf>
    <xf numFmtId="0" fontId="32" fillId="4" borderId="1" applyAlignment="1" pivotButton="0" quotePrefix="0" xfId="0">
      <alignment horizontal="left" vertical="center" wrapText="1"/>
    </xf>
    <xf numFmtId="0" fontId="32" fillId="3" borderId="1" applyAlignment="1" pivotButton="0" quotePrefix="0" xfId="0">
      <alignment horizontal="left" vertical="center" wrapText="1"/>
    </xf>
    <xf numFmtId="0" fontId="33" fillId="4" borderId="1" applyAlignment="1" pivotButton="0" quotePrefix="0" xfId="0">
      <alignment horizontal="left" vertical="center" wrapText="1"/>
    </xf>
    <xf numFmtId="9" fontId="9" fillId="4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horizontal="left" vertical="center" wrapText="1"/>
    </xf>
    <xf numFmtId="9" fontId="9" fillId="3" borderId="1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left" vertical="center" wrapText="1" indent="1"/>
    </xf>
    <xf numFmtId="0" fontId="7" fillId="10" borderId="0" applyAlignment="1" pivotButton="0" quotePrefix="0" xfId="0">
      <alignment horizontal="left" vertical="center" wrapText="1" indent="1"/>
    </xf>
    <xf numFmtId="0" fontId="34" fillId="4" borderId="1" applyAlignment="1" pivotButton="0" quotePrefix="0" xfId="0">
      <alignment horizontal="center" vertical="center" wrapText="1"/>
    </xf>
    <xf numFmtId="0" fontId="35" fillId="4" borderId="1" applyAlignment="1" pivotButton="0" quotePrefix="0" xfId="0">
      <alignment horizontal="left" vertical="center" wrapText="1"/>
    </xf>
    <xf numFmtId="0" fontId="35" fillId="4" borderId="1" applyAlignment="1" pivotButton="0" quotePrefix="0" xfId="0">
      <alignment horizontal="center" vertical="center" wrapText="1"/>
    </xf>
    <xf numFmtId="0" fontId="36" fillId="1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horizontal="center" vertical="center" wrapText="1"/>
    </xf>
    <xf numFmtId="0" fontId="35" fillId="3" borderId="1" applyAlignment="1" pivotButton="0" quotePrefix="0" xfId="0">
      <alignment horizontal="left" vertical="center" wrapText="1"/>
    </xf>
    <xf numFmtId="0" fontId="35" fillId="3" borderId="1" applyAlignment="1" pivotButton="0" quotePrefix="0" xfId="0">
      <alignment horizontal="center" vertical="center" wrapText="1"/>
    </xf>
    <xf numFmtId="0" fontId="37" fillId="14" borderId="1" applyAlignment="1" pivotButton="0" quotePrefix="0" xfId="0">
      <alignment horizontal="center" vertical="center" wrapText="1"/>
    </xf>
    <xf numFmtId="0" fontId="38" fillId="1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164" fontId="8" fillId="3" borderId="1" applyAlignment="1" pivotButton="0" quotePrefix="0" xfId="0">
      <alignment horizontal="center" vertical="center" wrapText="1"/>
    </xf>
    <xf numFmtId="164" fontId="23" fillId="2" borderId="1" applyAlignment="1" pivotButton="0" quotePrefix="0" xfId="0">
      <alignment horizontal="center" vertical="center" wrapText="1"/>
    </xf>
    <xf numFmtId="0" fontId="26" fillId="4" borderId="0" applyAlignment="1" pivotButton="0" quotePrefix="0" xfId="0">
      <alignment horizontal="left" vertical="center" wrapText="1" indent="1"/>
    </xf>
    <xf numFmtId="0" fontId="20" fillId="4" borderId="1" applyAlignment="1" pivotButton="0" quotePrefix="0" xfId="0">
      <alignment horizontal="left" vertical="center" wrapText="1"/>
    </xf>
    <xf numFmtId="0" fontId="39" fillId="4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left" vertical="center" wrapText="1"/>
    </xf>
    <xf numFmtId="0" fontId="39" fillId="3" borderId="1" applyAlignment="1" pivotButton="0" quotePrefix="0" xfId="0">
      <alignment horizontal="left" vertical="center" wrapText="1"/>
    </xf>
    <xf numFmtId="0" fontId="24" fillId="2" borderId="0" applyAlignment="1" pivotButton="0" quotePrefix="0" xfId="0">
      <alignment horizontal="left" vertical="center" wrapText="1" indent="1"/>
    </xf>
    <xf numFmtId="0" fontId="11" fillId="4" borderId="2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left" vertical="center" wrapText="1"/>
    </xf>
    <xf numFmtId="164" fontId="9" fillId="3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right" vertical="center" wrapText="1" indent="1"/>
    </xf>
    <xf numFmtId="164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left" vertical="center" wrapText="1" indent="1"/>
    </xf>
    <xf numFmtId="0" fontId="7" fillId="11" borderId="0" applyAlignment="1" pivotButton="0" quotePrefix="0" xfId="0">
      <alignment horizontal="left" vertical="center" wrapText="1" indent="1"/>
    </xf>
    <xf numFmtId="0" fontId="40" fillId="5" borderId="1" applyAlignment="1" pivotButton="0" quotePrefix="0" xfId="0">
      <alignment horizontal="center" vertical="center" wrapText="1"/>
    </xf>
    <xf numFmtId="0" fontId="41" fillId="4" borderId="1" applyAlignment="1" pivotButton="0" quotePrefix="0" xfId="0">
      <alignment horizontal="center" vertical="center" wrapText="1"/>
    </xf>
    <xf numFmtId="0" fontId="41" fillId="3" borderId="1" applyAlignment="1" pivotButton="0" quotePrefix="0" xfId="0">
      <alignment horizontal="center" vertical="center" wrapText="1"/>
    </xf>
    <xf numFmtId="0" fontId="42" fillId="4" borderId="1" applyAlignment="1" pivotButton="0" quotePrefix="0" xfId="0">
      <alignment horizontal="center" vertical="center" wrapText="1"/>
    </xf>
    <xf numFmtId="0" fontId="43" fillId="4" borderId="1" applyAlignment="1" pivotButton="0" quotePrefix="0" xfId="0">
      <alignment horizontal="left" vertical="center" wrapText="1"/>
    </xf>
    <xf numFmtId="0" fontId="44" fillId="4" borderId="1" applyAlignment="1" pivotButton="0" quotePrefix="0" xfId="0">
      <alignment horizontal="left" vertical="center" wrapText="1"/>
    </xf>
    <xf numFmtId="0" fontId="45" fillId="16" borderId="1" applyAlignment="1" pivotButton="0" quotePrefix="0" xfId="0">
      <alignment horizontal="center" vertical="center" wrapText="1"/>
    </xf>
    <xf numFmtId="0" fontId="46" fillId="4" borderId="1" applyAlignment="1" pivotButton="0" quotePrefix="0" xfId="0">
      <alignment horizontal="left" vertical="center" wrapText="1"/>
    </xf>
    <xf numFmtId="0" fontId="47" fillId="4" borderId="1" applyAlignment="1" pivotButton="0" quotePrefix="0" xfId="0">
      <alignment horizontal="left" vertical="center" wrapText="1"/>
    </xf>
    <xf numFmtId="0" fontId="42" fillId="3" borderId="1" applyAlignment="1" pivotButton="0" quotePrefix="0" xfId="0">
      <alignment horizontal="center" vertical="center" wrapText="1"/>
    </xf>
    <xf numFmtId="0" fontId="43" fillId="3" borderId="1" applyAlignment="1" pivotButton="0" quotePrefix="0" xfId="0">
      <alignment horizontal="left" vertical="center" wrapText="1"/>
    </xf>
    <xf numFmtId="0" fontId="44" fillId="3" borderId="1" applyAlignment="1" pivotButton="0" quotePrefix="0" xfId="0">
      <alignment horizontal="left" vertical="center" wrapText="1"/>
    </xf>
    <xf numFmtId="0" fontId="46" fillId="3" borderId="1" applyAlignment="1" pivotButton="0" quotePrefix="0" xfId="0">
      <alignment horizontal="left" vertical="center" wrapText="1"/>
    </xf>
    <xf numFmtId="0" fontId="47" fillId="3" borderId="1" applyAlignment="1" pivotButton="0" quotePrefix="0" xfId="0">
      <alignment horizontal="left" vertical="center" wrapText="1"/>
    </xf>
    <xf numFmtId="0" fontId="48" fillId="17" borderId="1" applyAlignment="1" pivotButton="0" quotePrefix="0" xfId="0">
      <alignment horizontal="center" vertical="center" wrapText="1"/>
    </xf>
    <xf numFmtId="0" fontId="49" fillId="18" borderId="1" applyAlignment="1" pivotButton="0" quotePrefix="0" xfId="0">
      <alignment horizontal="center" vertical="center" wrapText="1"/>
    </xf>
    <xf numFmtId="0" fontId="50" fillId="19" borderId="1" applyAlignment="1" pivotButton="0" quotePrefix="0" xfId="0">
      <alignment horizontal="center" vertical="center" wrapText="1"/>
    </xf>
    <xf numFmtId="0" fontId="51" fillId="20" borderId="1" applyAlignment="1" pivotButton="0" quotePrefix="0" xfId="0">
      <alignment horizontal="center" vertical="center" wrapText="1"/>
    </xf>
    <xf numFmtId="0" fontId="52" fillId="21" borderId="1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left" vertical="center" wrapText="1" indent="1"/>
    </xf>
    <xf numFmtId="0" fontId="7" fillId="12" borderId="0" applyAlignment="1" pivotButton="0" quotePrefix="0" xfId="0">
      <alignment horizontal="left" vertical="center" wrapText="1" indent="1"/>
    </xf>
    <xf numFmtId="0" fontId="22" fillId="4" borderId="1" applyAlignment="1" pivotButton="0" quotePrefix="0" xfId="0">
      <alignment horizontal="left" vertical="center" wrapText="1"/>
    </xf>
    <xf numFmtId="0" fontId="53" fillId="15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left" vertical="center" wrapText="1"/>
    </xf>
    <xf numFmtId="0" fontId="54" fillId="13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left" vertical="center" wrapText="1"/>
    </xf>
    <xf numFmtId="0" fontId="39" fillId="4" borderId="1" applyAlignment="1" pivotButton="0" quotePrefix="0" xfId="0">
      <alignment horizontal="center" vertical="center" wrapText="1"/>
    </xf>
    <xf numFmtId="0" fontId="38" fillId="3" borderId="1" applyAlignment="1" pivotButton="0" quotePrefix="0" xfId="0">
      <alignment horizontal="left" vertical="center" wrapText="1"/>
    </xf>
    <xf numFmtId="0" fontId="39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wrapText="1" indent="1"/>
    </xf>
    <xf numFmtId="0" fontId="5" fillId="2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2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8" fillId="3" borderId="0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left" vertical="center" wrapText="1"/>
    </xf>
    <xf numFmtId="0" fontId="8" fillId="11" borderId="0" applyAlignment="1" pivotButton="0" quotePrefix="0" xfId="0">
      <alignment horizontal="left" vertical="center" wrapText="1"/>
    </xf>
    <xf numFmtId="0" fontId="8" fillId="12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 indent="1"/>
    </xf>
    <xf numFmtId="0" fontId="14" fillId="4" borderId="0" applyAlignment="1" pivotButton="0" quotePrefix="0" xfId="0">
      <alignment horizontal="left" vertical="center" wrapText="1" indent="1"/>
    </xf>
    <xf numFmtId="0" fontId="14" fillId="3" borderId="0" applyAlignment="1" pivotButton="0" quotePrefix="0" xfId="0">
      <alignment horizontal="left" vertical="center" wrapText="1" indent="1"/>
    </xf>
    <xf numFmtId="0" fontId="4" fillId="7" borderId="0" applyAlignment="1" pivotButton="0" quotePrefix="0" xfId="0">
      <alignment horizontal="left" vertical="center" wrapText="1" indent="1"/>
    </xf>
    <xf numFmtId="0" fontId="7" fillId="7" borderId="0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left" vertical="center" wrapText="1"/>
    </xf>
    <xf numFmtId="3" fontId="9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3" fontId="9" fillId="4" borderId="1" applyAlignment="1" pivotButton="0" quotePrefix="0" xfId="0">
      <alignment horizontal="center" vertical="center" wrapText="1"/>
    </xf>
    <xf numFmtId="3" fontId="9" fillId="3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 wrapText="1"/>
    </xf>
    <xf numFmtId="0" fontId="16" fillId="4" borderId="2" applyAlignment="1" pivotButton="0" quotePrefix="0" xfId="0">
      <alignment horizontal="left" vertical="center" wrapText="1"/>
    </xf>
    <xf numFmtId="0" fontId="16" fillId="3" borderId="2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center" vertical="center" wrapText="1"/>
    </xf>
    <xf numFmtId="3" fontId="19" fillId="4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left" vertical="center" wrapText="1"/>
    </xf>
    <xf numFmtId="3" fontId="19" fillId="3" borderId="1" applyAlignment="1" pivotButton="0" quotePrefix="0" xfId="0">
      <alignment horizontal="center" vertical="center" wrapText="1"/>
    </xf>
    <xf numFmtId="0" fontId="20" fillId="13" borderId="1" applyAlignment="1" pivotButton="0" quotePrefix="0" xfId="0">
      <alignment horizontal="center" vertical="center" wrapText="1"/>
    </xf>
    <xf numFmtId="0" fontId="21" fillId="14" borderId="1" applyAlignment="1" pivotButton="0" quotePrefix="0" xfId="0">
      <alignment horizontal="center" vertical="center" wrapText="1"/>
    </xf>
    <xf numFmtId="0" fontId="22" fillId="15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right" vertical="center" wrapText="1" indent="1"/>
    </xf>
    <xf numFmtId="0" fontId="23" fillId="2" borderId="1" applyAlignment="1" pivotButton="0" quotePrefix="0" xfId="0">
      <alignment horizontal="center" vertical="center" wrapText="1"/>
    </xf>
    <xf numFmtId="0" fontId="24" fillId="2" borderId="0" applyAlignment="1" pivotButton="0" quotePrefix="0" xfId="0">
      <alignment horizontal="left" vertical="center" wrapText="1" indent="1"/>
    </xf>
    <xf numFmtId="0" fontId="25" fillId="2" borderId="0" applyAlignment="1" pivotButton="0" quotePrefix="0" xfId="0">
      <alignment horizontal="right" vertical="center" wrapText="1"/>
    </xf>
    <xf numFmtId="3" fontId="23" fillId="2" borderId="1" applyAlignment="1" pivotButton="0" quotePrefix="0" xfId="0">
      <alignment horizontal="center" vertical="center" wrapText="1"/>
    </xf>
    <xf numFmtId="0" fontId="26" fillId="3" borderId="0" applyAlignment="1" pivotButton="0" quotePrefix="0" xfId="0">
      <alignment horizontal="left" vertical="center" wrapText="1" indent="1"/>
    </xf>
    <xf numFmtId="0" fontId="4" fillId="8" borderId="0" applyAlignment="1" pivotButton="0" quotePrefix="0" xfId="0">
      <alignment horizontal="left" vertical="center" wrapText="1" indent="1"/>
    </xf>
    <xf numFmtId="0" fontId="7" fillId="8" borderId="0" applyAlignment="1" pivotButton="0" quotePrefix="0" xfId="0">
      <alignment horizontal="left" vertical="center" wrapText="1" indent="1"/>
    </xf>
    <xf numFmtId="0" fontId="27" fillId="4" borderId="1" applyAlignment="1" pivotButton="0" quotePrefix="0" xfId="0">
      <alignment horizontal="left" vertical="center" wrapText="1"/>
    </xf>
    <xf numFmtId="0" fontId="28" fillId="4" borderId="1" applyAlignment="1" pivotButton="0" quotePrefix="0" xfId="0">
      <alignment horizontal="left" vertical="center" wrapText="1"/>
    </xf>
    <xf numFmtId="0" fontId="26" fillId="4" borderId="1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left" vertical="center" wrapText="1"/>
    </xf>
    <xf numFmtId="0" fontId="28" fillId="3" borderId="1" applyAlignment="1" pivotButton="0" quotePrefix="0" xfId="0">
      <alignment horizontal="left" vertical="center" wrapText="1"/>
    </xf>
    <xf numFmtId="0" fontId="26" fillId="3" borderId="1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left" vertical="center" wrapText="1"/>
    </xf>
    <xf numFmtId="0" fontId="29" fillId="4" borderId="1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 wrapText="1" indent="1"/>
    </xf>
    <xf numFmtId="0" fontId="7" fillId="9" borderId="0" applyAlignment="1" pivotButton="0" quotePrefix="0" xfId="0">
      <alignment horizontal="left" vertical="center" wrapText="1" indent="1"/>
    </xf>
    <xf numFmtId="0" fontId="30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30" fillId="3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left" vertical="center" wrapText="1"/>
    </xf>
    <xf numFmtId="0" fontId="31" fillId="4" borderId="1" applyAlignment="1" pivotButton="0" quotePrefix="0" xfId="0">
      <alignment horizontal="left" vertical="center" wrapText="1"/>
    </xf>
    <xf numFmtId="0" fontId="31" fillId="3" borderId="1" applyAlignment="1" pivotButton="0" quotePrefix="0" xfId="0">
      <alignment horizontal="left" vertical="center" wrapText="1"/>
    </xf>
    <xf numFmtId="0" fontId="32" fillId="4" borderId="1" applyAlignment="1" pivotButton="0" quotePrefix="0" xfId="0">
      <alignment horizontal="left" vertical="center" wrapText="1"/>
    </xf>
    <xf numFmtId="0" fontId="32" fillId="3" borderId="1" applyAlignment="1" pivotButton="0" quotePrefix="0" xfId="0">
      <alignment horizontal="left" vertical="center" wrapText="1"/>
    </xf>
    <xf numFmtId="0" fontId="33" fillId="4" borderId="1" applyAlignment="1" pivotButton="0" quotePrefix="0" xfId="0">
      <alignment horizontal="left" vertical="center" wrapText="1"/>
    </xf>
    <xf numFmtId="9" fontId="9" fillId="4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horizontal="left" vertical="center" wrapText="1"/>
    </xf>
    <xf numFmtId="9" fontId="9" fillId="3" borderId="1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left" vertical="center" wrapText="1" indent="1"/>
    </xf>
    <xf numFmtId="0" fontId="7" fillId="10" borderId="0" applyAlignment="1" pivotButton="0" quotePrefix="0" xfId="0">
      <alignment horizontal="left" vertical="center" wrapText="1" indent="1"/>
    </xf>
    <xf numFmtId="0" fontId="34" fillId="4" borderId="1" applyAlignment="1" pivotButton="0" quotePrefix="0" xfId="0">
      <alignment horizontal="center" vertical="center" wrapText="1"/>
    </xf>
    <xf numFmtId="0" fontId="35" fillId="4" borderId="1" applyAlignment="1" pivotButton="0" quotePrefix="0" xfId="0">
      <alignment horizontal="left" vertical="center" wrapText="1"/>
    </xf>
    <xf numFmtId="0" fontId="35" fillId="4" borderId="1" applyAlignment="1" pivotButton="0" quotePrefix="0" xfId="0">
      <alignment horizontal="center" vertical="center" wrapText="1"/>
    </xf>
    <xf numFmtId="0" fontId="36" fillId="1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horizontal="center" vertical="center" wrapText="1"/>
    </xf>
    <xf numFmtId="0" fontId="35" fillId="3" borderId="1" applyAlignment="1" pivotButton="0" quotePrefix="0" xfId="0">
      <alignment horizontal="left" vertical="center" wrapText="1"/>
    </xf>
    <xf numFmtId="0" fontId="35" fillId="3" borderId="1" applyAlignment="1" pivotButton="0" quotePrefix="0" xfId="0">
      <alignment horizontal="center" vertical="center" wrapText="1"/>
    </xf>
    <xf numFmtId="0" fontId="37" fillId="14" borderId="1" applyAlignment="1" pivotButton="0" quotePrefix="0" xfId="0">
      <alignment horizontal="center" vertical="center" wrapText="1"/>
    </xf>
    <xf numFmtId="0" fontId="38" fillId="1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164" fontId="8" fillId="3" borderId="1" applyAlignment="1" pivotButton="0" quotePrefix="0" xfId="0">
      <alignment horizontal="center" vertical="center" wrapText="1"/>
    </xf>
    <xf numFmtId="164" fontId="23" fillId="2" borderId="1" applyAlignment="1" pivotButton="0" quotePrefix="0" xfId="0">
      <alignment horizontal="center" vertical="center" wrapText="1"/>
    </xf>
    <xf numFmtId="0" fontId="26" fillId="4" borderId="0" applyAlignment="1" pivotButton="0" quotePrefix="0" xfId="0">
      <alignment horizontal="left" vertical="center" wrapText="1" indent="1"/>
    </xf>
    <xf numFmtId="0" fontId="20" fillId="4" borderId="1" applyAlignment="1" pivotButton="0" quotePrefix="0" xfId="0">
      <alignment horizontal="left" vertical="center" wrapText="1"/>
    </xf>
    <xf numFmtId="0" fontId="39" fillId="4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left" vertical="center" wrapText="1"/>
    </xf>
    <xf numFmtId="0" fontId="39" fillId="3" borderId="1" applyAlignment="1" pivotButton="0" quotePrefix="0" xfId="0">
      <alignment horizontal="left" vertical="center" wrapText="1"/>
    </xf>
    <xf numFmtId="0" fontId="11" fillId="4" borderId="2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left" vertical="center" wrapText="1"/>
    </xf>
    <xf numFmtId="164" fontId="9" fillId="3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right" vertical="center" wrapText="1" indent="1"/>
    </xf>
    <xf numFmtId="164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left" vertical="center" wrapText="1" indent="1"/>
    </xf>
    <xf numFmtId="0" fontId="7" fillId="11" borderId="0" applyAlignment="1" pivotButton="0" quotePrefix="0" xfId="0">
      <alignment horizontal="left" vertical="center" wrapText="1" indent="1"/>
    </xf>
    <xf numFmtId="0" fontId="40" fillId="5" borderId="1" applyAlignment="1" pivotButton="0" quotePrefix="0" xfId="0">
      <alignment horizontal="center" vertical="center" wrapText="1"/>
    </xf>
    <xf numFmtId="0" fontId="41" fillId="4" borderId="1" applyAlignment="1" pivotButton="0" quotePrefix="0" xfId="0">
      <alignment horizontal="center" vertical="center" wrapText="1"/>
    </xf>
    <xf numFmtId="0" fontId="41" fillId="3" borderId="1" applyAlignment="1" pivotButton="0" quotePrefix="0" xfId="0">
      <alignment horizontal="center" vertical="center" wrapText="1"/>
    </xf>
    <xf numFmtId="0" fontId="42" fillId="4" borderId="1" applyAlignment="1" pivotButton="0" quotePrefix="0" xfId="0">
      <alignment horizontal="center" vertical="center" wrapText="1"/>
    </xf>
    <xf numFmtId="0" fontId="43" fillId="4" borderId="1" applyAlignment="1" pivotButton="0" quotePrefix="0" xfId="0">
      <alignment horizontal="left" vertical="center" wrapText="1"/>
    </xf>
    <xf numFmtId="0" fontId="44" fillId="4" borderId="1" applyAlignment="1" pivotButton="0" quotePrefix="0" xfId="0">
      <alignment horizontal="left" vertical="center" wrapText="1"/>
    </xf>
    <xf numFmtId="0" fontId="45" fillId="16" borderId="1" applyAlignment="1" pivotButton="0" quotePrefix="0" xfId="0">
      <alignment horizontal="center" vertical="center" wrapText="1"/>
    </xf>
    <xf numFmtId="0" fontId="46" fillId="4" borderId="1" applyAlignment="1" pivotButton="0" quotePrefix="0" xfId="0">
      <alignment horizontal="left" vertical="center" wrapText="1"/>
    </xf>
    <xf numFmtId="0" fontId="47" fillId="4" borderId="1" applyAlignment="1" pivotButton="0" quotePrefix="0" xfId="0">
      <alignment horizontal="left" vertical="center" wrapText="1"/>
    </xf>
    <xf numFmtId="0" fontId="42" fillId="3" borderId="1" applyAlignment="1" pivotButton="0" quotePrefix="0" xfId="0">
      <alignment horizontal="center" vertical="center" wrapText="1"/>
    </xf>
    <xf numFmtId="0" fontId="43" fillId="3" borderId="1" applyAlignment="1" pivotButton="0" quotePrefix="0" xfId="0">
      <alignment horizontal="left" vertical="center" wrapText="1"/>
    </xf>
    <xf numFmtId="0" fontId="44" fillId="3" borderId="1" applyAlignment="1" pivotButton="0" quotePrefix="0" xfId="0">
      <alignment horizontal="left" vertical="center" wrapText="1"/>
    </xf>
    <xf numFmtId="0" fontId="46" fillId="3" borderId="1" applyAlignment="1" pivotButton="0" quotePrefix="0" xfId="0">
      <alignment horizontal="left" vertical="center" wrapText="1"/>
    </xf>
    <xf numFmtId="0" fontId="47" fillId="3" borderId="1" applyAlignment="1" pivotButton="0" quotePrefix="0" xfId="0">
      <alignment horizontal="left" vertical="center" wrapText="1"/>
    </xf>
    <xf numFmtId="0" fontId="48" fillId="17" borderId="1" applyAlignment="1" pivotButton="0" quotePrefix="0" xfId="0">
      <alignment horizontal="center" vertical="center" wrapText="1"/>
    </xf>
    <xf numFmtId="0" fontId="49" fillId="18" borderId="1" applyAlignment="1" pivotButton="0" quotePrefix="0" xfId="0">
      <alignment horizontal="center" vertical="center" wrapText="1"/>
    </xf>
    <xf numFmtId="0" fontId="50" fillId="19" borderId="1" applyAlignment="1" pivotButton="0" quotePrefix="0" xfId="0">
      <alignment horizontal="center" vertical="center" wrapText="1"/>
    </xf>
    <xf numFmtId="0" fontId="51" fillId="20" borderId="1" applyAlignment="1" pivotButton="0" quotePrefix="0" xfId="0">
      <alignment horizontal="center" vertical="center" wrapText="1"/>
    </xf>
    <xf numFmtId="0" fontId="52" fillId="21" borderId="1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left" vertical="center" wrapText="1" indent="1"/>
    </xf>
    <xf numFmtId="0" fontId="7" fillId="12" borderId="0" applyAlignment="1" pivotButton="0" quotePrefix="0" xfId="0">
      <alignment horizontal="left" vertical="center" wrapText="1" indent="1"/>
    </xf>
    <xf numFmtId="0" fontId="22" fillId="4" borderId="1" applyAlignment="1" pivotButton="0" quotePrefix="0" xfId="0">
      <alignment horizontal="left" vertical="center" wrapText="1"/>
    </xf>
    <xf numFmtId="0" fontId="53" fillId="15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left" vertical="center" wrapText="1"/>
    </xf>
    <xf numFmtId="0" fontId="54" fillId="13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left" vertical="center" wrapText="1"/>
    </xf>
    <xf numFmtId="0" fontId="39" fillId="4" borderId="1" applyAlignment="1" pivotButton="0" quotePrefix="0" xfId="0">
      <alignment horizontal="center" vertical="center" wrapText="1"/>
    </xf>
    <xf numFmtId="0" fontId="38" fillId="3" borderId="1" applyAlignment="1" pivotButton="0" quotePrefix="0" xfId="0">
      <alignment horizontal="left" vertical="center" wrapText="1"/>
    </xf>
    <xf numFmtId="0" fontId="39" fillId="3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4F6F9"/>
      <rgbColor rgb="FFFF00FF"/>
      <rgbColor rgb="FF00FFFF"/>
      <rgbColor rgb="FF800000"/>
      <rgbColor rgb="FF10663F"/>
      <rgbColor rgb="FF000080"/>
      <rgbColor rgb="FF8A5A00"/>
      <rgbColor rgb="FF800080"/>
      <rgbColor rgb="FF0E7C7B"/>
      <rgbColor rgb="FFD9E6FB"/>
      <rgbColor rgb="FF808080"/>
      <rgbColor rgb="FF9999FF"/>
      <rgbColor rgb="FFB3261E"/>
      <rgbColor rgb="FFFDF1E2"/>
      <rgbColor rgb="FFD8F0EF"/>
      <rgbColor rgb="FF660066"/>
      <rgbColor rgb="FFFF8080"/>
      <rgbColor rgb="FF1B4DA6"/>
      <rgbColor rgb="FFD9DEE6"/>
      <rgbColor rgb="FF000080"/>
      <rgbColor rgb="FFFF00FF"/>
      <rgbColor rgb="FFFFFF00"/>
      <rgbColor rgb="FF00FFFF"/>
      <rgbColor rgb="FF800080"/>
      <rgbColor rgb="FF800000"/>
      <rgbColor rgb="FF147D4B"/>
      <rgbColor rgb="FF0000FF"/>
      <rgbColor rgb="FF00CCFF"/>
      <rgbColor rgb="FFDFF3E8"/>
      <rgbColor rgb="FFE7F6EE"/>
      <rgbColor rgb="FFFBE8C7"/>
      <rgbColor rgb="FFECE0F8"/>
      <rgbColor rgb="FFFBEAE9"/>
      <rgbColor rgb="FFEAF0FE"/>
      <rgbColor rgb="FFFBE2E0"/>
      <rgbColor rgb="FF2453E0"/>
      <rgbColor rgb="FF33CCCC"/>
      <rgbColor rgb="FF99CC00"/>
      <rgbColor rgb="FFFFCC00"/>
      <rgbColor rgb="FFFF9900"/>
      <rgbColor rgb="FFB5650A"/>
      <rgbColor rgb="FF64748B"/>
      <rgbColor rgb="FF969696"/>
      <rgbColor rgb="FF0B6360"/>
      <rgbColor rgb="FF339966"/>
      <rgbColor rgb="FF0F172A"/>
      <rgbColor rgb="FF333300"/>
      <rgbColor rgb="FF9C2A24"/>
      <rgbColor rgb="FF6B3FA0"/>
      <rgbColor rgb="FF5B3489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F172A"/>
    <outlinePr summaryBelow="1" summaryRight="1"/>
    <pageSetUpPr fitToPage="1"/>
  </sheetPr>
  <dimension ref="A1:D2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144" min="1" max="1"/>
    <col width="24" customWidth="1" style="144" min="2" max="2"/>
    <col width="50" customWidth="1" style="144" min="3" max="3"/>
    <col width="32" customWidth="1" style="144" min="4" max="4"/>
  </cols>
  <sheetData>
    <row r="1" ht="19.5" customHeight="1" s="145">
      <c r="A1" s="146" t="inlineStr">
        <is>
          <t>CONTENT OPERATING SYSTEM</t>
        </is>
      </c>
    </row>
    <row r="2" ht="36" customHeight="1" s="145">
      <c r="A2" s="147" t="inlineStr">
        <is>
          <t>🧠  AI / PRODUCTIVITY / DIGITAL TOOLS — REELS GROWTH OS</t>
        </is>
      </c>
    </row>
    <row r="3" ht="30" customHeight="1" s="145">
      <c r="A3" s="148" t="inlineStr">
        <is>
          <t>Производственная система коротких видео для Instagram, построенная на 6 психологических принципах удержания и распространения, а не на догадках.</t>
        </is>
      </c>
    </row>
    <row r="4" ht="7.5" customHeight="1" s="145"/>
    <row r="5" ht="21.75" customHeight="1" s="145">
      <c r="A5" s="149" t="inlineStr">
        <is>
          <t xml:space="preserve">  СЕВЕРНАЯ ЗВЕЗДА</t>
        </is>
      </c>
    </row>
    <row r="6" ht="19.5" customHeight="1" s="145">
      <c r="A6" s="150" t="n"/>
      <c r="B6" s="151" t="inlineStr">
        <is>
          <t>Цель</t>
        </is>
      </c>
      <c r="C6" s="152" t="inlineStr">
        <is>
          <t>100 000 000 просмотров / месяц</t>
        </is>
      </c>
      <c r="D6" s="153" t="n"/>
    </row>
    <row r="7" ht="19.5" customHeight="1" s="145">
      <c r="A7" s="154" t="n"/>
      <c r="B7" s="151" t="inlineStr">
        <is>
          <t>Объём</t>
        </is>
      </c>
      <c r="C7" s="155" t="inlineStr">
        <is>
          <t>100 видео / день · 3 000 / месяц</t>
        </is>
      </c>
      <c r="D7" s="153" t="n"/>
    </row>
    <row r="8" ht="19.5" customHeight="1" s="145">
      <c r="A8" s="150" t="n"/>
      <c r="B8" s="151" t="inlineStr">
        <is>
          <t>Экосистема</t>
        </is>
      </c>
      <c r="C8" s="152" t="inlineStr">
        <is>
          <t>15 нишевых Instagram-аккаунтов</t>
        </is>
      </c>
      <c r="D8" s="153" t="n"/>
    </row>
    <row r="9" ht="19.5" customHeight="1" s="145">
      <c r="A9" s="154" t="n"/>
      <c r="B9" s="151" t="inlineStr">
        <is>
          <t>Логика модели</t>
        </is>
      </c>
      <c r="C9" s="155" t="inlineStr">
        <is>
          <t>Каждый сценарий = 1 из 6 психологических триггеров</t>
        </is>
      </c>
      <c r="D9" s="153" t="n"/>
    </row>
    <row r="11" ht="21.75" customHeight="1" s="145">
      <c r="A11" s="149" t="inlineStr">
        <is>
          <t xml:space="preserve">  АРХИТЕКТУРА: 5 СЛОЁВ + 2 ПРИЛОЖЕНИЯ</t>
        </is>
      </c>
    </row>
    <row r="12" ht="21.75" customHeight="1" s="145">
      <c r="A12" s="156" t="n"/>
      <c r="B12" s="156" t="inlineStr">
        <is>
          <t>Слой</t>
        </is>
      </c>
      <c r="C12" s="156" t="inlineStr">
        <is>
          <t>Назначение</t>
        </is>
      </c>
      <c r="D12" s="156" t="inlineStr">
        <is>
          <t>Листы</t>
        </is>
      </c>
    </row>
    <row r="13" ht="30" customHeight="1" s="145">
      <c r="A13" s="157" t="n"/>
      <c r="B13" s="158" t="inlineStr">
        <is>
          <t>L1 · STRATEGY</t>
        </is>
      </c>
      <c r="C13" s="159" t="inlineStr">
        <is>
          <t>Куда мы идём и насколько масштабируемся</t>
        </is>
      </c>
      <c r="D13" s="160" t="inlineStr">
        <is>
          <t>🎯 01 Strategy  ·  📱 02 Accounts</t>
        </is>
      </c>
    </row>
    <row r="14" ht="30" customHeight="1" s="145">
      <c r="A14" s="161" t="n"/>
      <c r="B14" s="162" t="inlineStr">
        <is>
          <t>L2 · PSYCHOLOGY</t>
        </is>
      </c>
      <c r="C14" s="163" t="inlineStr">
        <is>
          <t>Почему человек останавливается, досматривает и делится</t>
        </is>
      </c>
      <c r="D14" s="164" t="inlineStr">
        <is>
          <t>🧠 03 Psychology</t>
        </is>
      </c>
    </row>
    <row r="15" ht="30" customHeight="1" s="145">
      <c r="A15" s="165" t="n"/>
      <c r="B15" s="158" t="inlineStr">
        <is>
          <t>L3 · CONTENT ENGINE</t>
        </is>
      </c>
      <c r="C15" s="159" t="inlineStr">
        <is>
          <t>Как психология превращается в готовый сценарий</t>
        </is>
      </c>
      <c r="D15" s="160" t="inlineStr">
        <is>
          <t>🎬 04 Content Engine  ·  📚 09 Content Bank</t>
        </is>
      </c>
    </row>
    <row r="16" ht="30" customHeight="1" s="145">
      <c r="A16" s="166" t="n"/>
      <c r="B16" s="162" t="inlineStr">
        <is>
          <t>L4 · EXECUTION</t>
        </is>
      </c>
      <c r="C16" s="163" t="inlineStr">
        <is>
          <t>Как 1 сценарий становится 100 опубликованными видео в день</t>
        </is>
      </c>
      <c r="D16" s="164" t="inlineStr">
        <is>
          <t>⚙️ 05 Pipeline  ·  👥 06 Team  ·  🛠️ 07 AI Stack</t>
        </is>
      </c>
    </row>
    <row r="17" ht="30" customHeight="1" s="145">
      <c r="A17" s="167" t="n"/>
      <c r="B17" s="158" t="inlineStr">
        <is>
          <t>L5 · KPI &amp; ANALYTICS</t>
        </is>
      </c>
      <c r="C17" s="159" t="inlineStr">
        <is>
          <t>Как мы понимаем, что система действительно работает</t>
        </is>
      </c>
      <c r="D17" s="160" t="inlineStr">
        <is>
          <t>📈 08 KPI Dashboard</t>
        </is>
      </c>
    </row>
    <row r="18" ht="30" customHeight="1" s="145">
      <c r="A18" s="168" t="n"/>
      <c r="B18" s="162" t="inlineStr">
        <is>
          <t>ПРИЛОЖЕНИЕ · REALITY CHECK</t>
        </is>
      </c>
      <c r="C18" s="163" t="inlineStr">
        <is>
          <t>Что может сломать систему в Instagram и как это компенсировать</t>
        </is>
      </c>
      <c r="D18" s="164" t="inlineStr">
        <is>
          <t>🔬 10 Reality Check</t>
        </is>
      </c>
    </row>
    <row r="20" ht="21.75" customHeight="1" s="145">
      <c r="A20" s="169" t="inlineStr">
        <is>
          <t xml:space="preserve">  КАК ПОЛЬЗОВАТЬСЯ ФАЙЛОМ</t>
        </is>
      </c>
    </row>
    <row r="21" ht="27.75" customHeight="1" s="145">
      <c r="A21" s="170" t="inlineStr">
        <is>
          <t>•  Двигайтесь по вкладкам слева направо — это и есть последовательность производства: Strategy → Psychology → Content Engine → Execution → KPI.</t>
        </is>
      </c>
    </row>
    <row r="22" ht="27.75" customHeight="1" s="145">
      <c r="A22" s="171" t="inlineStr">
        <is>
          <t>•  Каждое видео в «09 Content Bank» явно ссылается на 1 из 6 принципов из «03 Psychology» — это не два независимых листа, а вход и выход одной модели.</t>
        </is>
      </c>
    </row>
    <row r="23" ht="27.75" customHeight="1" s="145">
      <c r="A23" s="170" t="inlineStr">
        <is>
          <t>•  Цветной квадрат слева от названия слоя выше = цвет вкладки этого слоя внизу экрана — так проще ориентироваться, не открывая каждый лист.</t>
        </is>
      </c>
    </row>
    <row r="24" ht="27.75" customHeight="1" s="145">
      <c r="A24" s="171" t="inlineStr">
        <is>
          <t>•  Перед публикацией контента, произведённого по системе, прочитайте «10 Reality Check» — он объясняет, что может занижать охват и как это обойти.</t>
        </is>
      </c>
    </row>
  </sheetData>
  <mergeCells count="14">
    <mergeCell ref="A1:D1"/>
    <mergeCell ref="A23:D23"/>
    <mergeCell ref="A5:D5"/>
    <mergeCell ref="C6:D6"/>
    <mergeCell ref="C7:D7"/>
    <mergeCell ref="A22:D22"/>
    <mergeCell ref="A3:D3"/>
    <mergeCell ref="A20:D20"/>
    <mergeCell ref="A21:D21"/>
    <mergeCell ref="C9:D9"/>
    <mergeCell ref="A24:D24"/>
    <mergeCell ref="A2:D2"/>
    <mergeCell ref="A11:D11"/>
    <mergeCell ref="C8:D8"/>
  </mergeCells>
  <printOptions horizontalCentered="0" verticalCentered="0" headings="0" gridLines="0" gridLinesSet="1"/>
  <pageMargins left="0.3" right="0.3" top="0.4" bottom="0.4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453E0"/>
    <outlinePr summaryBelow="1" summaryRight="1"/>
    <pageSetUpPr fitToPage="1"/>
  </sheetPr>
  <dimension ref="A1:C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144" min="1" max="1"/>
    <col width="16" customWidth="1" style="144" min="2" max="2"/>
    <col width="44" customWidth="1" style="144" min="3" max="3"/>
  </cols>
  <sheetData>
    <row r="1" ht="19.5" customHeight="1" s="145">
      <c r="A1" s="172" t="inlineStr">
        <is>
          <t>LAYER 1 · STRATEGY</t>
        </is>
      </c>
    </row>
    <row r="2" ht="36" customHeight="1" s="145">
      <c r="A2" s="147" t="inlineStr">
        <is>
          <t>🎯  ЦЕЛИ, KPI-КАСКАД И ЛОГИКА МАСШТАБИРОВАНИЯ</t>
        </is>
      </c>
    </row>
    <row r="3" ht="30" customHeight="1" s="145">
      <c r="A3" s="148" t="inlineStr">
        <is>
          <t>Куда движется система и какими проверяемыми шагами она туда доходит.</t>
        </is>
      </c>
    </row>
    <row r="4" ht="7.5" customHeight="1" s="145"/>
    <row r="5" ht="21.75" customHeight="1" s="145">
      <c r="A5" s="173" t="inlineStr">
        <is>
          <t xml:space="preserve">  ВХОДНЫЕ ДОПУЩЕНИЯ</t>
        </is>
      </c>
    </row>
    <row r="6" ht="21.75" customHeight="1" s="145">
      <c r="A6" s="156" t="inlineStr">
        <is>
          <t>Параметр</t>
        </is>
      </c>
      <c r="B6" s="156" t="inlineStr">
        <is>
          <t>Значение</t>
        </is>
      </c>
      <c r="C6" s="156" t="inlineStr">
        <is>
          <t>Комментарий</t>
        </is>
      </c>
    </row>
    <row r="7" ht="19.5" customHeight="1" s="145">
      <c r="A7" s="174" t="inlineStr">
        <is>
          <t>Целевые просмотры / месяц</t>
        </is>
      </c>
      <c r="B7" s="175" t="n">
        <v>100000000</v>
      </c>
      <c r="C7" s="160" t="inlineStr">
        <is>
          <t>Северная метрика всей системы</t>
        </is>
      </c>
    </row>
    <row r="8" ht="19.5" customHeight="1" s="145">
      <c r="A8" s="176" t="inlineStr">
        <is>
          <t>Видео в день</t>
        </is>
      </c>
      <c r="B8" s="175" t="n">
        <v>100</v>
      </c>
      <c r="C8" s="164" t="inlineStr">
        <is>
          <t>Производственная мощность на полной фазе</t>
        </is>
      </c>
    </row>
    <row r="9" ht="19.5" customHeight="1" s="145">
      <c r="A9" s="174" t="inlineStr">
        <is>
          <t>Дней в расчётном месяце</t>
        </is>
      </c>
      <c r="B9" s="175" t="n">
        <v>30</v>
      </c>
      <c r="C9" s="160" t="inlineStr">
        <is>
          <t>Стандартный месяц для планирования</t>
        </is>
      </c>
    </row>
    <row r="10" ht="19.5" customHeight="1" s="145">
      <c r="A10" s="176" t="inlineStr">
        <is>
          <t>Аккаунтов в экосистеме</t>
        </is>
      </c>
      <c r="B10" s="175" t="n">
        <v>15</v>
      </c>
      <c r="C10" s="164" t="inlineStr">
        <is>
          <t>См. 02 Accounts — нишевая сегментация</t>
        </is>
      </c>
    </row>
    <row r="12" ht="21.75" customHeight="1" s="145">
      <c r="A12" s="169" t="inlineStr">
        <is>
          <t xml:space="preserve">  РАСЧЁТНЫЕ ПОКАЗАТЕЛИ (формулы)</t>
        </is>
      </c>
    </row>
    <row r="13" ht="21.75" customHeight="1" s="145">
      <c r="A13" s="156" t="inlineStr">
        <is>
          <t>Показатель</t>
        </is>
      </c>
      <c r="B13" s="156" t="inlineStr">
        <is>
          <t>Значение</t>
        </is>
      </c>
      <c r="C13" s="156" t="inlineStr">
        <is>
          <t>Формула / логика</t>
        </is>
      </c>
    </row>
    <row r="14" ht="19.5" customHeight="1" s="145">
      <c r="A14" s="174" t="inlineStr">
        <is>
          <t>Видео в месяц</t>
        </is>
      </c>
      <c r="B14" s="177">
        <f>B8*B9</f>
        <v/>
      </c>
      <c r="C14" s="160" t="inlineStr">
        <is>
          <t>Видео/день × Дни</t>
        </is>
      </c>
    </row>
    <row r="15" ht="19.5" customHeight="1" s="145">
      <c r="A15" s="176" t="inlineStr">
        <is>
          <t>Видео на 1 аккаунт в день</t>
        </is>
      </c>
      <c r="B15" s="178">
        <f>B8/B10</f>
        <v/>
      </c>
      <c r="C15" s="164" t="inlineStr">
        <is>
          <t>Видео/день ÷ Аккаунтов</t>
        </is>
      </c>
    </row>
    <row r="16" ht="19.5" customHeight="1" s="145">
      <c r="A16" s="174" t="inlineStr">
        <is>
          <t>Целевое среднее просмотров / видео</t>
        </is>
      </c>
      <c r="B16" s="177">
        <f>B7/B14</f>
        <v/>
      </c>
      <c r="C16" s="160" t="inlineStr">
        <is>
          <t>Цель ÷ Видео/месяц</t>
        </is>
      </c>
    </row>
    <row r="17" ht="19.5" customHeight="1" s="145">
      <c r="A17" s="176" t="inlineStr">
        <is>
          <t>Целевой охват на 1 аккаунт / месяц</t>
        </is>
      </c>
      <c r="B17" s="178">
        <f>B7/B10</f>
        <v/>
      </c>
      <c r="C17" s="164" t="inlineStr">
        <is>
          <t>Цель ÷ Аккаунтов</t>
        </is>
      </c>
    </row>
    <row r="19" ht="21.75" customHeight="1" s="145">
      <c r="A19" s="173" t="inlineStr">
        <is>
          <t xml:space="preserve">  ROADMAP МАСШТАБИРОВАНИЯ КОНТЕНТА</t>
        </is>
      </c>
    </row>
    <row r="20" ht="21.75" customHeight="1" s="145">
      <c r="A20" s="156" t="inlineStr">
        <is>
          <t>Фаза / срок</t>
        </is>
      </c>
      <c r="B20" s="156" t="inlineStr">
        <is>
          <t>Видео/день</t>
        </is>
      </c>
      <c r="C20" s="156" t="inlineStr">
        <is>
          <t>Фокус и критерий перехода дальше</t>
        </is>
      </c>
    </row>
    <row r="21" ht="45.75" customHeight="1" s="145">
      <c r="A21" s="179" t="inlineStr">
        <is>
          <t>Фаза 0 · Инфраструктура · Нед. 1–2</t>
        </is>
      </c>
      <c r="B21" s="180" t="inlineStr">
        <is>
          <t>0</t>
        </is>
      </c>
      <c r="C21" s="181" t="inlineStr">
        <is>
          <t>Создать и прогреть 15 аккаунтов, собрать библиотеку хуков и шаблонов промптов. Переход: все инструменты подключены, 15 аккаунтов активны.</t>
        </is>
      </c>
    </row>
    <row r="22" ht="45.75" customHeight="1" s="145">
      <c r="A22" s="182" t="inlineStr">
        <is>
          <t>Фаза 1 · Тест · Нед. 3–4</t>
        </is>
      </c>
      <c r="B22" s="183" t="inlineStr">
        <is>
          <t>30</t>
        </is>
      </c>
      <c r="C22" s="184" t="inlineStr">
        <is>
          <t>5 аккаунтов, A/B хуков, поиск winning-форматов. Переход: ≥1 видео с органическим охватом &gt;10× от подписчиков аккаунта.</t>
        </is>
      </c>
    </row>
    <row r="23" ht="45.75" customHeight="1" s="145">
      <c r="A23" s="179" t="inlineStr">
        <is>
          <t>Фаза 2 · Масштаб I · Мес. 2</t>
        </is>
      </c>
      <c r="B23" s="180" t="inlineStr">
        <is>
          <t>60</t>
        </is>
      </c>
      <c r="C23" s="181" t="inlineStr">
        <is>
          <t>Запуск всех 15 аккаунтов, полная автоматизация войсовера/субтитров. Переход: стабильные 60 видео/день 14 дней подряд без падения retention.</t>
        </is>
      </c>
    </row>
    <row r="24" ht="45.75" customHeight="1" s="145">
      <c r="A24" s="182" t="inlineStr">
        <is>
          <t>Фаза 3 · Полный масштаб · Мес. 3</t>
        </is>
      </c>
      <c r="B24" s="183" t="inlineStr">
        <is>
          <t>100</t>
        </is>
      </c>
      <c r="C24" s="184" t="inlineStr">
        <is>
          <t>Pipeline «сценарий → публикация» &lt; 20 мин, запуск нативного промо-слота. Переход: 100 видео/день держится 21 день, очередь kill-листа работает еженедельно.</t>
        </is>
      </c>
    </row>
    <row r="25" ht="45.75" customHeight="1" s="145">
      <c r="A25" s="179" t="inlineStr">
        <is>
          <t>Фаза 4 · Оптимизация · Мес. 4–5</t>
        </is>
      </c>
      <c r="B25" s="180" t="inlineStr">
        <is>
          <t>100</t>
        </is>
      </c>
      <c r="C25" s="181" t="inlineStr">
        <is>
          <t>Удвоение топ-20% форматов, отключение слабых ниш, тест платного буста на лидерах. Переход: CPL устойчиво падает 2 месяца подряд.</t>
        </is>
      </c>
    </row>
    <row r="26" ht="45.75" customHeight="1" s="145">
      <c r="A26" s="182" t="inlineStr">
        <is>
          <t>Фаза 5 · Цель · Мес. 6</t>
        </is>
      </c>
      <c r="B26" s="183" t="inlineStr">
        <is>
          <t>100</t>
        </is>
      </c>
      <c r="C26" s="184" t="inlineStr">
        <is>
          <t>100 видео/день на максимальной автоматизации, полная интеграция воронки. Цель: 100M просмотров/мес, см. 08 KPI Dashboard.</t>
        </is>
      </c>
    </row>
    <row r="28" ht="21.75" customHeight="1" s="145">
      <c r="A28" s="169" t="inlineStr">
        <is>
          <t xml:space="preserve">  5 СТРАТЕГИЧЕСКИХ ПРИНЦИПОВ</t>
        </is>
      </c>
    </row>
    <row r="29" ht="21.75" customHeight="1" s="145">
      <c r="A29" s="156" t="inlineStr">
        <is>
          <t>Принцип</t>
        </is>
      </c>
      <c r="B29" s="156" t="n"/>
      <c r="C29" s="156" t="inlineStr">
        <is>
          <t>Суть</t>
        </is>
      </c>
    </row>
    <row r="30" ht="30" customHeight="1" s="145">
      <c r="A30" s="179" t="inlineStr">
        <is>
          <t>1 · Volume × Automation</t>
        </is>
      </c>
      <c r="B30" s="185" t="inlineStr">
        <is>
          <t>AI-пайплайн производит объём, человек контролирует только QC-шлюз перед публикацией (см. 05 Pipeline).</t>
        </is>
      </c>
      <c r="C30" s="153" t="n"/>
    </row>
    <row r="31" ht="30" customHeight="1" s="145">
      <c r="A31" s="182" t="inlineStr">
        <is>
          <t>2 · Niche Segmentation</t>
        </is>
      </c>
      <c r="B31" s="186" t="inlineStr">
        <is>
          <t>15 аккаунтов = 15 чётких тем. Критично для алгоритмических topic-controls Instagram (см. 10 Reality Check).</t>
        </is>
      </c>
      <c r="C31" s="153" t="n"/>
    </row>
    <row r="32" ht="30" customHeight="1" s="145">
      <c r="A32" s="179" t="inlineStr">
        <is>
          <t>3 · Data-Driven Kill / Scale</t>
        </is>
      </c>
      <c r="B32" s="185" t="inlineStr">
        <is>
          <t>Еженедельно: нижние 20% по retention — в архив, верхние 20% — удваиваем формат (см. 08 KPI Dashboard).</t>
        </is>
      </c>
      <c r="C32" s="153" t="n"/>
    </row>
    <row r="33" ht="30" customHeight="1" s="145">
      <c r="A33" s="182" t="inlineStr">
        <is>
          <t>4 · Hook-First Production</t>
        </is>
      </c>
      <c r="B33" s="186" t="inlineStr">
        <is>
          <t>Сценарий не пишется, пока хук не закреплён за одним из 6 принципов (см. 03 Psychology, 04 Content Engine).</t>
        </is>
      </c>
      <c r="C33" s="153" t="n"/>
    </row>
    <row r="34" ht="30" customHeight="1" s="145">
      <c r="A34" s="179" t="inlineStr">
        <is>
          <t>5 · Funnel Architecture</t>
        </is>
      </c>
      <c r="B34" s="185" t="inlineStr">
        <is>
          <t>Холодный охват через психологию → тёплая аудитория через идентичность/регулярность → конверсия в промо-слоте.</t>
        </is>
      </c>
      <c r="C34" s="153" t="n"/>
    </row>
  </sheetData>
  <mergeCells count="12">
    <mergeCell ref="A28:C28"/>
    <mergeCell ref="B30:C30"/>
    <mergeCell ref="A19:C19"/>
    <mergeCell ref="B33:C33"/>
    <mergeCell ref="A1:C1"/>
    <mergeCell ref="A5:C5"/>
    <mergeCell ref="B34:C34"/>
    <mergeCell ref="A3:C3"/>
    <mergeCell ref="B32:C32"/>
    <mergeCell ref="B31:C31"/>
    <mergeCell ref="A12:C12"/>
    <mergeCell ref="A2:C2"/>
  </mergeCells>
  <printOptions horizontalCentered="0" verticalCentered="0" headings="0" gridLines="0" gridLinesSet="1"/>
  <pageMargins left="0.3" right="0.3" top="0.4" bottom="0.4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453E0"/>
    <outlinePr summaryBelow="1" summaryRight="1"/>
    <pageSetUpPr fitToPage="1"/>
  </sheetPr>
  <dimension ref="A1:H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144" min="1" max="1"/>
    <col width="20" customWidth="1" style="144" min="2" max="2"/>
    <col width="24" customWidth="1" style="144" min="3" max="3"/>
    <col width="11" customWidth="1" style="144" min="4" max="4"/>
    <col width="28" customWidth="1" style="144" min="5" max="5"/>
    <col width="24" customWidth="1" style="144" min="6" max="6"/>
    <col width="16" customWidth="1" style="144" min="7" max="8"/>
  </cols>
  <sheetData>
    <row r="1" ht="19.5" customHeight="1" s="145">
      <c r="A1" s="172" t="inlineStr">
        <is>
          <t>LAYER 1 · STRATEGY</t>
        </is>
      </c>
    </row>
    <row r="2" ht="36" customHeight="1" s="145">
      <c r="A2" s="147" t="inlineStr">
        <is>
          <t>📱  АРХИТЕКТУРА АККАУНТОВ — 15 НИШЕВЫХ КАНАЛОВ</t>
        </is>
      </c>
    </row>
    <row r="3" ht="30" customHeight="1" s="145">
      <c r="A3" s="148" t="inlineStr">
        <is>
          <t>Сегментация по нишам напрямую служит Mere Exposure (узнаваемость формата) и алгоритмическим topic-controls Instagram — см. 10 Reality Check.</t>
        </is>
      </c>
    </row>
    <row r="4" ht="7.5" customHeight="1" s="145"/>
    <row r="5" ht="21.75" customHeight="1" s="145">
      <c r="A5" s="173" t="inlineStr">
        <is>
          <t xml:space="preserve">  ЭКОСИСТЕМА АККАУНТОВ</t>
        </is>
      </c>
    </row>
    <row r="6" ht="24" customHeight="1" s="145">
      <c r="A6" s="156" t="inlineStr">
        <is>
          <t>#</t>
        </is>
      </c>
      <c r="B6" s="156" t="inlineStr">
        <is>
          <t>Handle</t>
        </is>
      </c>
      <c r="C6" s="156" t="inlineStr">
        <is>
          <t>Ниша</t>
        </is>
      </c>
      <c r="D6" s="156" t="inlineStr">
        <is>
          <t>Видео/день</t>
        </is>
      </c>
      <c r="E6" s="156" t="inlineStr">
        <is>
          <t>Контент-фокус</t>
        </is>
      </c>
      <c r="F6" s="156" t="inlineStr">
        <is>
          <t>Аудитория</t>
        </is>
      </c>
      <c r="G6" s="156" t="inlineStr">
        <is>
          <t>Этап воронки</t>
        </is>
      </c>
      <c r="H6" s="156" t="inlineStr">
        <is>
          <t>Цель подписч. (мес.6)</t>
        </is>
      </c>
    </row>
    <row r="7" ht="30" customHeight="1" s="145">
      <c r="A7" s="187" t="n">
        <v>1</v>
      </c>
      <c r="B7" s="188" t="inlineStr">
        <is>
          <t>@ai_tools_daily</t>
        </is>
      </c>
      <c r="C7" s="181" t="inlineStr">
        <is>
          <t>Обзоры AI-инструментов</t>
        </is>
      </c>
      <c r="D7" s="180" t="n">
        <v>7</v>
      </c>
      <c r="E7" s="181" t="inlineStr">
        <is>
          <t>Туториалы, демо, сравнения интерфейсов</t>
        </is>
      </c>
      <c r="F7" s="181" t="inlineStr">
        <is>
          <t>IT-специалисты, предприниматели</t>
        </is>
      </c>
      <c r="G7" s="189" t="inlineStr">
        <is>
          <t>Холодный</t>
        </is>
      </c>
      <c r="H7" s="190" t="n">
        <v>500000</v>
      </c>
    </row>
    <row r="8" ht="30" customHeight="1" s="145">
      <c r="A8" s="191" t="n">
        <v>2</v>
      </c>
      <c r="B8" s="192" t="inlineStr">
        <is>
          <t>@chatgpt_hacks_</t>
        </is>
      </c>
      <c r="C8" s="184" t="inlineStr">
        <is>
          <t>Лайфхаки ChatGPT</t>
        </is>
      </c>
      <c r="D8" s="183" t="n">
        <v>7</v>
      </c>
      <c r="E8" s="184" t="inlineStr">
        <is>
          <t>Скрытые функции, быстрые трюки</t>
        </is>
      </c>
      <c r="F8" s="184" t="inlineStr">
        <is>
          <t>Широкая аудитория 18–35</t>
        </is>
      </c>
      <c r="G8" s="189" t="inlineStr">
        <is>
          <t>Холодный</t>
        </is>
      </c>
      <c r="H8" s="193" t="n">
        <v>600000</v>
      </c>
    </row>
    <row r="9" ht="30" customHeight="1" s="145">
      <c r="A9" s="187" t="n">
        <v>3</v>
      </c>
      <c r="B9" s="188" t="inlineStr">
        <is>
          <t>@ai_news_fast</t>
        </is>
      </c>
      <c r="C9" s="181" t="inlineStr">
        <is>
          <t>AI-новости за 60 сек</t>
        </is>
      </c>
      <c r="D9" s="180" t="n">
        <v>7</v>
      </c>
      <c r="E9" s="181" t="inlineStr">
        <is>
          <t>Breaking news, релизы, рекорды</t>
        </is>
      </c>
      <c r="F9" s="181" t="inlineStr">
        <is>
          <t>Tech-энтузиасты, широкая</t>
        </is>
      </c>
      <c r="G9" s="189" t="inlineStr">
        <is>
          <t>Холодный</t>
        </is>
      </c>
      <c r="H9" s="190" t="n">
        <v>450000</v>
      </c>
    </row>
    <row r="10" ht="30" customHeight="1" s="145">
      <c r="A10" s="191" t="n">
        <v>4</v>
      </c>
      <c r="B10" s="192" t="inlineStr">
        <is>
          <t>@midjourney_art_</t>
        </is>
      </c>
      <c r="C10" s="184" t="inlineStr">
        <is>
          <t>AI-арт Midjourney/Leonardo</t>
        </is>
      </c>
      <c r="D10" s="183" t="n">
        <v>6</v>
      </c>
      <c r="E10" s="184" t="inlineStr">
        <is>
          <t>Шоукейсы, процесс генерации</t>
        </is>
      </c>
      <c r="F10" s="184" t="inlineStr">
        <is>
          <t>Художники, дизайнеры</t>
        </is>
      </c>
      <c r="G10" s="194" t="inlineStr">
        <is>
          <t>Тёплый</t>
        </is>
      </c>
      <c r="H10" s="193" t="n">
        <v>350000</v>
      </c>
    </row>
    <row r="11" ht="30" customHeight="1" s="145">
      <c r="A11" s="187" t="n">
        <v>5</v>
      </c>
      <c r="B11" s="188" t="inlineStr">
        <is>
          <t>@runway_visions</t>
        </is>
      </c>
      <c r="C11" s="181" t="inlineStr">
        <is>
          <t>AI видео-арт Runway/Pika</t>
        </is>
      </c>
      <c r="D11" s="180" t="n">
        <v>6</v>
      </c>
      <c r="E11" s="181" t="inlineStr">
        <is>
          <t>Сгенерированные клипы, wow-эффект</t>
        </is>
      </c>
      <c r="F11" s="181" t="inlineStr">
        <is>
          <t>Широкая, tech-аудитория</t>
        </is>
      </c>
      <c r="G11" s="194" t="inlineStr">
        <is>
          <t>Тёплый</t>
        </is>
      </c>
      <c r="H11" s="190" t="n">
        <v>300000</v>
      </c>
    </row>
    <row r="12" ht="30" customHeight="1" s="145">
      <c r="A12" s="191" t="n">
        <v>6</v>
      </c>
      <c r="B12" s="192" t="inlineStr">
        <is>
          <t>@ai_for_biz_</t>
        </is>
      </c>
      <c r="C12" s="184" t="inlineStr">
        <is>
          <t>AI для бизнеса</t>
        </is>
      </c>
      <c r="D12" s="183" t="n">
        <v>6</v>
      </c>
      <c r="E12" s="184" t="inlineStr">
        <is>
          <t>Кейсы, ROI, бизнес-применения</t>
        </is>
      </c>
      <c r="F12" s="184" t="inlineStr">
        <is>
          <t>Предприниматели, менеджеры</t>
        </is>
      </c>
      <c r="G12" s="195" t="inlineStr">
        <is>
          <t>Горячий</t>
        </is>
      </c>
      <c r="H12" s="193" t="n">
        <v>300000</v>
      </c>
    </row>
    <row r="13" ht="30" customHeight="1" s="145">
      <c r="A13" s="187" t="n">
        <v>7</v>
      </c>
      <c r="B13" s="188" t="inlineStr">
        <is>
          <t>@ai_vs_human_</t>
        </is>
      </c>
      <c r="C13" s="181" t="inlineStr">
        <is>
          <t>AI против человека</t>
        </is>
      </c>
      <c r="D13" s="180" t="n">
        <v>7</v>
      </c>
      <c r="E13" s="181" t="inlineStr">
        <is>
          <t>Эксперименты, прямые сравнения</t>
        </is>
      </c>
      <c r="F13" s="181" t="inlineStr">
        <is>
          <t>Широкая, развлекательная</t>
        </is>
      </c>
      <c r="G13" s="189" t="inlineStr">
        <is>
          <t>Холодный</t>
        </is>
      </c>
      <c r="H13" s="190" t="n">
        <v>500000</v>
      </c>
    </row>
    <row r="14" ht="30" customHeight="1" s="145">
      <c r="A14" s="191" t="n">
        <v>8</v>
      </c>
      <c r="B14" s="192" t="inlineStr">
        <is>
          <t>@ai_money_tips</t>
        </is>
      </c>
      <c r="C14" s="184" t="inlineStr">
        <is>
          <t>Заработок с AI</t>
        </is>
      </c>
      <c r="D14" s="183" t="n">
        <v>7</v>
      </c>
      <c r="E14" s="184" t="inlineStr">
        <is>
          <t>Способы монетизации AI-навыков</t>
        </is>
      </c>
      <c r="F14" s="184" t="inlineStr">
        <is>
          <t>Фрилансеры, предприниматели</t>
        </is>
      </c>
      <c r="G14" s="195" t="inlineStr">
        <is>
          <t>Горячий</t>
        </is>
      </c>
      <c r="H14" s="193" t="n">
        <v>400000</v>
      </c>
    </row>
    <row r="15" ht="30" customHeight="1" s="145">
      <c r="A15" s="187" t="n">
        <v>9</v>
      </c>
      <c r="B15" s="188" t="inlineStr">
        <is>
          <t>@ai_funny_fails</t>
        </is>
      </c>
      <c r="C15" s="181" t="inlineStr">
        <is>
          <t>Приколы и фейлы AI</t>
        </is>
      </c>
      <c r="D15" s="180" t="n">
        <v>6</v>
      </c>
      <c r="E15" s="181" t="inlineStr">
        <is>
          <t>Юмор, неожиданные результаты</t>
        </is>
      </c>
      <c r="F15" s="181" t="inlineStr">
        <is>
          <t>Широкая аудитория 16–40</t>
        </is>
      </c>
      <c r="G15" s="189" t="inlineStr">
        <is>
          <t>Холодный</t>
        </is>
      </c>
      <c r="H15" s="190" t="n">
        <v>450000</v>
      </c>
    </row>
    <row r="16" ht="30" customHeight="1" s="145">
      <c r="A16" s="191" t="n">
        <v>10</v>
      </c>
      <c r="B16" s="192" t="inlineStr">
        <is>
          <t>@learn_ai_fast</t>
        </is>
      </c>
      <c r="C16" s="184" t="inlineStr">
        <is>
          <t>Обучение AI с нуля</t>
        </is>
      </c>
      <c r="D16" s="183" t="n">
        <v>6</v>
      </c>
      <c r="E16" s="184" t="inlineStr">
        <is>
          <t>Объяснения тем простым языком</t>
        </is>
      </c>
      <c r="F16" s="184" t="inlineStr">
        <is>
          <t>Студенты, новички</t>
        </is>
      </c>
      <c r="G16" s="196" t="inlineStr">
        <is>
          <t>Конверсия</t>
        </is>
      </c>
      <c r="H16" s="193" t="n">
        <v>300000</v>
      </c>
    </row>
    <row r="17" ht="30" customHeight="1" s="145">
      <c r="A17" s="187" t="n">
        <v>11</v>
      </c>
      <c r="B17" s="188" t="inlineStr">
        <is>
          <t>@ai_productive_</t>
        </is>
      </c>
      <c r="C17" s="181" t="inlineStr">
        <is>
          <t>Продуктивность с AI</t>
        </is>
      </c>
      <c r="D17" s="180" t="n">
        <v>7</v>
      </c>
      <c r="E17" s="181" t="inlineStr">
        <is>
          <t>Рабочие лайфхаки, автоматизация</t>
        </is>
      </c>
      <c r="F17" s="181" t="inlineStr">
        <is>
          <t>Офисные сотрудники, HR</t>
        </is>
      </c>
      <c r="G17" s="194" t="inlineStr">
        <is>
          <t>Тёплый</t>
        </is>
      </c>
      <c r="H17" s="190" t="n">
        <v>350000</v>
      </c>
    </row>
    <row r="18" ht="30" customHeight="1" s="145">
      <c r="A18" s="191" t="n">
        <v>12</v>
      </c>
      <c r="B18" s="192" t="inlineStr">
        <is>
          <t>@ai_code_tricks</t>
        </is>
      </c>
      <c r="C18" s="184" t="inlineStr">
        <is>
          <t>AI для разработчиков</t>
        </is>
      </c>
      <c r="D18" s="183" t="n">
        <v>6</v>
      </c>
      <c r="E18" s="184" t="inlineStr">
        <is>
          <t>Coding с AI-ассистентами</t>
        </is>
      </c>
      <c r="F18" s="184" t="inlineStr">
        <is>
          <t>Разработчики, IT-студенты</t>
        </is>
      </c>
      <c r="G18" s="194" t="inlineStr">
        <is>
          <t>Тёплый</t>
        </is>
      </c>
      <c r="H18" s="193" t="n">
        <v>250000</v>
      </c>
    </row>
    <row r="19" ht="30" customHeight="1" s="145">
      <c r="A19" s="187" t="n">
        <v>13</v>
      </c>
      <c r="B19" s="188" t="inlineStr">
        <is>
          <t>@ai_marketing_</t>
        </is>
      </c>
      <c r="C19" s="181" t="inlineStr">
        <is>
          <t>AI в маркетинге</t>
        </is>
      </c>
      <c r="D19" s="180" t="n">
        <v>6</v>
      </c>
      <c r="E19" s="181" t="inlineStr">
        <is>
          <t>Кейсы, инструменты, ROI-расчёты</t>
        </is>
      </c>
      <c r="F19" s="181" t="inlineStr">
        <is>
          <t>Маркетологи, SMM-специалисты</t>
        </is>
      </c>
      <c r="G19" s="195" t="inlineStr">
        <is>
          <t>Горячий</t>
        </is>
      </c>
      <c r="H19" s="190" t="n">
        <v>250000</v>
      </c>
    </row>
    <row r="20" ht="30" customHeight="1" s="145">
      <c r="A20" s="191" t="n">
        <v>14</v>
      </c>
      <c r="B20" s="192" t="inlineStr">
        <is>
          <t>@future_ai_now_</t>
        </is>
      </c>
      <c r="C20" s="184" t="inlineStr">
        <is>
          <t>Будущее AI: прогнозы</t>
        </is>
      </c>
      <c r="D20" s="183" t="n">
        <v>6</v>
      </c>
      <c r="E20" s="184" t="inlineStr">
        <is>
          <t>Тренды, предсказания, аналитика</t>
        </is>
      </c>
      <c r="F20" s="184" t="inlineStr">
        <is>
          <t>Tech-энтузиасты, инвесторы</t>
        </is>
      </c>
      <c r="G20" s="194" t="inlineStr">
        <is>
          <t>Тёплый</t>
        </is>
      </c>
      <c r="H20" s="193" t="n">
        <v>300000</v>
      </c>
    </row>
    <row r="21" ht="30" customHeight="1" s="145">
      <c r="A21" s="187" t="n">
        <v>15</v>
      </c>
      <c r="B21" s="188" t="inlineStr">
        <is>
          <t>@[бренд_продукта]</t>
        </is>
      </c>
      <c r="C21" s="181" t="inlineStr">
        <is>
          <t>Промо-аккаунт продукта</t>
        </is>
      </c>
      <c r="D21" s="180" t="n">
        <v>5</v>
      </c>
      <c r="E21" s="181" t="inlineStr">
        <is>
          <t>Обучение, кейсы, отзывы клиентов</t>
        </is>
      </c>
      <c r="F21" s="181" t="inlineStr">
        <is>
          <t>Потенциальные клиенты 18–45</t>
        </is>
      </c>
      <c r="G21" s="196" t="inlineStr">
        <is>
          <t>Конверсия</t>
        </is>
      </c>
      <c r="H21" s="190" t="n">
        <v>200000</v>
      </c>
    </row>
    <row r="22" ht="24" customHeight="1" s="145">
      <c r="A22" s="197" t="inlineStr">
        <is>
          <t>ИТОГО ПО ЭКОСИСТЕМЕ</t>
        </is>
      </c>
      <c r="D22" s="198">
        <f>SUM(D7:D21)</f>
        <v/>
      </c>
      <c r="E22" s="199" t="inlineStr">
        <is>
          <t>видео/день суммарно по всем 15 аккаунтам</t>
        </is>
      </c>
      <c r="G22" s="200" t="inlineStr">
        <is>
          <t>Σ подписч.:</t>
        </is>
      </c>
      <c r="H22" s="201">
        <f>SUM(H7:H21)</f>
        <v/>
      </c>
    </row>
    <row r="24" ht="24" customHeight="1" s="145">
      <c r="A24" s="202" t="inlineStr">
        <is>
          <t>Легенда «Этап воронки»:  Холодный = первый контакт (психология/виральность)   ·   Тёплый = повторный контакт, узнаваемость (Mere Exposure)   ·   Горячий = готов к действию   ·   Конверсия = прямой призыв к продукту/школе.</t>
        </is>
      </c>
    </row>
  </sheetData>
  <mergeCells count="7">
    <mergeCell ref="A3:H3"/>
    <mergeCell ref="A5:H5"/>
    <mergeCell ref="A24:H24"/>
    <mergeCell ref="A2:H2"/>
    <mergeCell ref="A22:C22"/>
    <mergeCell ref="E22:F22"/>
    <mergeCell ref="A1:H1"/>
  </mergeCells>
  <printOptions horizontalCentered="0" verticalCentered="0" headings="0" gridLines="0" gridLinesSet="1"/>
  <pageMargins left="0.3" right="0.3" top="0.4" bottom="0.4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6B3FA0"/>
    <outlinePr summaryBelow="1" summaryRight="1"/>
    <pageSetUpPr fitToPage="1"/>
  </sheetPr>
  <dimension ref="A1:E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44" min="1" max="1"/>
    <col width="30" customWidth="1" style="144" min="2" max="3"/>
    <col width="28" customWidth="1" style="144" min="4" max="4"/>
    <col width="34" customWidth="1" style="144" min="5" max="5"/>
  </cols>
  <sheetData>
    <row r="1" ht="19.5" customHeight="1" s="145">
      <c r="A1" s="203" t="inlineStr">
        <is>
          <t>LAYER 2 · PSYCHOLOGY</t>
        </is>
      </c>
    </row>
    <row r="2" ht="36" customHeight="1" s="145">
      <c r="A2" s="147" t="inlineStr">
        <is>
          <t>🧠  6 ПРИНЦИПОВ УДЕРЖАНИЯ И ВИРАЛЬНОСТИ</t>
        </is>
      </c>
    </row>
    <row r="3" ht="30" customHeight="1" s="145">
      <c r="A3" s="148" t="inlineStr">
        <is>
          <t>Это ядро модели, а не дополнение: каждый сценарий в 09 Content Bank явно закодирован одним из этих шести принципов.</t>
        </is>
      </c>
    </row>
    <row r="4" ht="7.5" customHeight="1" s="145"/>
    <row r="5" ht="21.75" customHeight="1" s="145">
      <c r="A5" s="204" t="inlineStr">
        <is>
          <t xml:space="preserve">  ПРИНЦИП → ПРИМЕНЕНИЕ → ТРИГГЕРЫ → ПРИМЕР</t>
        </is>
      </c>
    </row>
    <row r="6" ht="24" customHeight="1" s="145">
      <c r="A6" s="156" t="inlineStr">
        <is>
          <t>Принцип</t>
        </is>
      </c>
      <c r="B6" s="156" t="inlineStr">
        <is>
          <t>Суть</t>
        </is>
      </c>
      <c r="C6" s="156" t="inlineStr">
        <is>
          <t>Применение в Shorts</t>
        </is>
      </c>
      <c r="D6" s="156" t="inlineStr">
        <is>
          <t>Психологические триггеры</t>
        </is>
      </c>
      <c r="E6" s="156" t="inlineStr">
        <is>
          <t>Пример применения</t>
        </is>
      </c>
    </row>
    <row r="7" ht="87.75" customHeight="1" s="145">
      <c r="A7" s="205" t="inlineStr">
        <is>
          <t>1 · Mere Exposure Effect</t>
        </is>
      </c>
      <c r="B7" s="206" t="inlineStr">
        <is>
          <t>Узнаваемые форматы важнее оригинальности.
Чем чаще мозг встречает знакомый стимул, тем больше он ему доверяет — даже без новой информации.</t>
        </is>
      </c>
      <c r="C7" s="206" t="inlineStr">
        <is>
          <t>Единый визуальный шаблон (заставка, шрифт, голос, структура подачи) повторяется в каждом видео аккаунта/рубрики, чтобы зритель узнавал формат за доли секунды.</t>
        </is>
      </c>
      <c r="D7" s="206" t="inlineStr">
        <is>
          <t>Узнавание, чувство комфорта, снижение скепсиса — «я уже знаю, что это работает».</t>
        </is>
      </c>
      <c r="E7" s="207" t="inlineStr">
        <is>
          <t>Рубрика «AI за 60 секунд» открывается одной и той же заставкой и фразой ведущего каждый выпуск — зритель остаётся, потому что знает структуру.</t>
        </is>
      </c>
    </row>
    <row r="8" ht="87.75" customHeight="1" s="145">
      <c r="A8" s="208" t="inlineStr">
        <is>
          <t>2 · Curiosity Trap</t>
        </is>
      </c>
      <c r="B8" s="209" t="inlineStr">
        <is>
          <t>Информационный разрыв.
Когда человек осознаёт зазор между тем, что он знает, и тем, что хочет узнать, возникает дискомфорт, который закрывается только досмотром.</t>
        </is>
      </c>
      <c r="C8" s="209" t="inlineStr">
        <is>
          <t>Хук озвучивает открытую петлю («один инструмент изменил всё») и удерживает ответ до 70–90% хронометража видео.</t>
        </is>
      </c>
      <c r="D8" s="209" t="inlineStr">
        <is>
          <t>Напряжение, предвкушение, навязчивое желание узнать развязку.</t>
        </is>
      </c>
      <c r="E8" s="210" t="inlineStr">
        <is>
          <t>«Есть настройка ChatGPT, о которой не знают 99% — досмотри до конца» — разгадка даётся только на последних секундах.</t>
        </is>
      </c>
    </row>
    <row r="9" ht="87.75" customHeight="1" s="145">
      <c r="A9" s="205" t="inlineStr">
        <is>
          <t>3 · Identity Selling</t>
        </is>
      </c>
      <c r="B9" s="206" t="inlineStr">
        <is>
          <t>Продажа идентичности, не продукта.
Люди не покупают функции — они покупают версию себя, к которой стремятся или которой боятся не соответствовать.</t>
        </is>
      </c>
      <c r="C9" s="206" t="inlineStr">
        <is>
          <t>Контент формулируется как маркер принадлежности к группе («то, что уже знают AI-пользователи 1%»), а не как нейтральный обзор функции.</t>
        </is>
      </c>
      <c r="D9" s="206" t="inlineStr">
        <is>
          <t>Стремление к статусу, страх отстать, защита самооценки, племенная принадлежность.</t>
        </is>
      </c>
      <c r="E9" s="207" t="inlineStr">
        <is>
          <t>«Если ты ещё закрываешь отчёты вручную — это видео для тебя» — зритель смотрит, чтобы перестать быть «тем самым» отстающим.</t>
        </is>
      </c>
    </row>
    <row r="10" ht="87.75" customHeight="1" s="145">
      <c r="A10" s="208" t="inlineStr">
        <is>
          <t>4 · Authority / Credentials</t>
        </is>
      </c>
      <c r="B10" s="209" t="inlineStr">
        <is>
          <t>Доверие за 2 секунды.
Зритель решает, доверять ли источнику, в первые 1–2 секунды — до того, как успевает обработать содержание логически.</t>
        </is>
      </c>
      <c r="C10" s="209" t="inlineStr">
        <is>
          <t>Первый кадр показывает доказательство компетенции: экран интерфейса, конкретную цифру результата, а не лицо, рассказывающее со слов.</t>
        </is>
      </c>
      <c r="D10" s="209" t="inlineStr">
        <is>
          <t>Эвристика доверия, снижение скепсиса — «этот человек/аккаунт разбирается».</t>
        </is>
      </c>
      <c r="E10" s="210" t="inlineStr">
        <is>
          <t>«Я протестировал 47 AI-инструментов, чтобы вам не пришлось» с реальным скринкастом сравнения вместо разговора на камеру.</t>
        </is>
      </c>
    </row>
    <row r="11" ht="87.75" customHeight="1" s="145">
      <c r="A11" s="205" t="inlineStr">
        <is>
          <t>5 · Social Sharing</t>
        </is>
      </c>
      <c r="B11" s="206" t="inlineStr">
        <is>
          <t>Контент, которым хотят делиться.
Контент распространяется не потому, что он «хороший», а потому что пересылка выгодна самому отправителю — делает его полезным/смешным/в теме.</t>
        </is>
      </c>
      <c r="C11" s="206" t="inlineStr">
        <is>
          <t>В payoff закладывается момент, который хочется переслать конкретному человеку («перешли тому, кто до сих пор делает это руками»).</t>
        </is>
      </c>
      <c r="D11" s="206" t="inlineStr">
        <is>
          <t>Социальная валюта — «я выгляжу полезным/осведомлённым, если поделюсь этим».</t>
        </is>
      </c>
      <c r="E11" s="207" t="inlineStr">
        <is>
          <t>Видео-сравнение «ChatGPT vs Claude в одной задаче» с подписью «сохрани — пригодится в понедельник» рассчитано на сейвы и репосты в директ.</t>
        </is>
      </c>
    </row>
    <row r="12" ht="87.75" customHeight="1" s="145">
      <c r="A12" s="208" t="inlineStr">
        <is>
          <t>6 · Storytelling</t>
        </is>
      </c>
      <c r="B12" s="209" t="inlineStr">
        <is>
          <t>Hook → Problem → Story → Resolution.
Нарративная структура удерживает внимание и врезается в память сильнее, чем плоская подача фактов, потому что незавершённая история психологически некомфортна для прерывания.</t>
        </is>
      </c>
      <c r="C12" s="209" t="inlineStr">
        <is>
          <t>Даже 30-секундный обзор инструмента строится как мини-история: завязка (проблема) → конкретное действие героя → развязка с измеримым результатом.</t>
        </is>
      </c>
      <c r="D12" s="209" t="inlineStr">
        <is>
          <t>Нарративная вовлечённость, потребность в завершении, эмоциональная память.</t>
        </is>
      </c>
      <c r="E12" s="210" t="inlineStr">
        <is>
          <t>«Чуть не сорвал дедлайн (hook) → отчёт на 6 часов работы (problem) → нашёл это в 11 вечера (story) → закрыл за 12 минут, вот как именно (resolution)».</t>
        </is>
      </c>
    </row>
    <row r="14" ht="21.75" customHeight="1" s="145">
      <c r="A14" s="169" t="inlineStr">
        <is>
          <t xml:space="preserve">  ВЛИЯНИЕ НА RETENTION И VIRALITY</t>
        </is>
      </c>
    </row>
    <row r="15" ht="21.75" customHeight="1" s="145">
      <c r="A15" s="156" t="inlineStr">
        <is>
          <t>Принцип</t>
        </is>
      </c>
      <c r="B15" s="156" t="inlineStr">
        <is>
          <t>Влияние на Retention</t>
        </is>
      </c>
      <c r="C15" s="156" t="inlineStr">
        <is>
          <t>Влияние на Virality</t>
        </is>
      </c>
      <c r="D15" s="211" t="inlineStr">
        <is>
          <t>Когда использовать в первую очередь</t>
        </is>
      </c>
      <c r="E15" s="153" t="n"/>
    </row>
    <row r="16" ht="24" customHeight="1" s="145">
      <c r="A16" s="205" t="inlineStr">
        <is>
          <t>Mere Exposure</t>
        </is>
      </c>
      <c r="B16" s="195" t="inlineStr">
        <is>
          <t>Высокое</t>
        </is>
      </c>
      <c r="C16" s="212" t="inlineStr">
        <is>
          <t>Низкое-среднее</t>
        </is>
      </c>
      <c r="D16" s="185" t="inlineStr">
        <is>
          <t>Постоянные рубрики, серийный контент, фирменные открывашки аккаунта.</t>
        </is>
      </c>
      <c r="E16" s="153" t="n"/>
    </row>
    <row r="17" ht="24" customHeight="1" s="145">
      <c r="A17" s="208" t="inlineStr">
        <is>
          <t>Curiosity Trap</t>
        </is>
      </c>
      <c r="B17" s="189" t="inlineStr">
        <is>
          <t>Очень высокое</t>
        </is>
      </c>
      <c r="C17" s="194" t="inlineStr">
        <is>
          <t>Среднее</t>
        </is>
      </c>
      <c r="D17" s="186" t="inlineStr">
        <is>
          <t>Хук видео, особенно для туториалов и сравнений.</t>
        </is>
      </c>
      <c r="E17" s="153" t="n"/>
    </row>
    <row r="18" ht="24" customHeight="1" s="145">
      <c r="A18" s="205" t="inlineStr">
        <is>
          <t>Identity Selling</t>
        </is>
      </c>
      <c r="B18" s="194" t="inlineStr">
        <is>
          <t>Среднее</t>
        </is>
      </c>
      <c r="C18" s="195" t="inlineStr">
        <is>
          <t>Высокое</t>
        </is>
      </c>
      <c r="D18" s="185" t="inlineStr">
        <is>
          <t>Контент для тёплой/горячей аудитории, нативный промо-слот.</t>
        </is>
      </c>
      <c r="E18" s="153" t="n"/>
    </row>
    <row r="19" ht="24" customHeight="1" s="145">
      <c r="A19" s="208" t="inlineStr">
        <is>
          <t>Authority / Credentials</t>
        </is>
      </c>
      <c r="B19" s="195" t="inlineStr">
        <is>
          <t>Высокое</t>
        </is>
      </c>
      <c r="C19" s="194" t="inlineStr">
        <is>
          <t>Среднее</t>
        </is>
      </c>
      <c r="D19" s="186" t="inlineStr">
        <is>
          <t>Первый кадр любого видео — независимо от пилларa.</t>
        </is>
      </c>
      <c r="E19" s="153" t="n"/>
    </row>
    <row r="20" ht="24" customHeight="1" s="145">
      <c r="A20" s="205" t="inlineStr">
        <is>
          <t>Social Sharing</t>
        </is>
      </c>
      <c r="B20" s="212" t="inlineStr">
        <is>
          <t>Низкое-среднее</t>
        </is>
      </c>
      <c r="C20" s="189" t="inlineStr">
        <is>
          <t>Очень высокое</t>
        </is>
      </c>
      <c r="D20" s="185" t="inlineStr">
        <is>
          <t>Listicle/сравнения и payoff-моменты, рассчитанные на пересылку.</t>
        </is>
      </c>
      <c r="E20" s="153" t="n"/>
    </row>
    <row r="21" ht="24" customHeight="1" s="145">
      <c r="A21" s="208" t="inlineStr">
        <is>
          <t>Storytelling</t>
        </is>
      </c>
      <c r="B21" s="189" t="inlineStr">
        <is>
          <t>Очень высокое</t>
        </is>
      </c>
      <c r="C21" s="195" t="inlineStr">
        <is>
          <t>Высокое</t>
        </is>
      </c>
      <c r="D21" s="186" t="inlineStr">
        <is>
          <t>Базовый каркас сценария — применяется почти всегда поверх остальных.</t>
        </is>
      </c>
      <c r="E21" s="153" t="n"/>
    </row>
  </sheetData>
  <mergeCells count="12">
    <mergeCell ref="D20:E20"/>
    <mergeCell ref="D16:E16"/>
    <mergeCell ref="A2:E2"/>
    <mergeCell ref="D15:E15"/>
    <mergeCell ref="D19:E19"/>
    <mergeCell ref="A14:E14"/>
    <mergeCell ref="A3:E3"/>
    <mergeCell ref="A1:E1"/>
    <mergeCell ref="A5:E5"/>
    <mergeCell ref="D18:E18"/>
    <mergeCell ref="D17:E17"/>
    <mergeCell ref="D21:E21"/>
  </mergeCells>
  <printOptions horizontalCentered="0" verticalCentered="0" headings="0" gridLines="0" gridLinesSet="1"/>
  <pageMargins left="0.3" right="0.3" top="0.4" bottom="0.4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0E7C7B"/>
    <outlinePr summaryBelow="1" summaryRight="1"/>
    <pageSetUpPr fitToPage="1"/>
  </sheetPr>
  <dimension ref="A1:D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44" min="1" max="1"/>
    <col width="26" customWidth="1" style="144" min="2" max="2"/>
    <col width="20" customWidth="1" style="144" min="3" max="3"/>
    <col width="38" customWidth="1" style="144" min="4" max="4"/>
  </cols>
  <sheetData>
    <row r="1" ht="19.5" customHeight="1" s="145">
      <c r="A1" s="213" t="inlineStr">
        <is>
          <t>LAYER 3 · CONTENT ENGINE</t>
        </is>
      </c>
    </row>
    <row r="2" ht="36" customHeight="1" s="145">
      <c r="A2" s="147" t="inlineStr">
        <is>
          <t>🎬  SHORT-FORM SYSTEM: АНАТОМИЯ, ФОРМУЛЫ, ХУКИ</t>
        </is>
      </c>
    </row>
    <row r="3" ht="30" customHeight="1" s="145">
      <c r="A3" s="148" t="inlineStr">
        <is>
          <t>Как принципы из 03 Psychology становятся производимым сценарием за 3 минуты.</t>
        </is>
      </c>
    </row>
    <row r="4" ht="7.5" customHeight="1" s="145"/>
    <row r="5" ht="21.75" customHeight="1" s="145">
      <c r="A5" s="214" t="inlineStr">
        <is>
          <t xml:space="preserve">  АНАТОМИЯ РОЛИКА 0–30 СЕК</t>
        </is>
      </c>
    </row>
    <row r="6" ht="21.75" customHeight="1" s="145">
      <c r="A6" s="156" t="inlineStr">
        <is>
          <t>Таймкод</t>
        </is>
      </c>
      <c r="B6" s="156" t="inlineStr">
        <is>
          <t>Назначение блока</t>
        </is>
      </c>
      <c r="C6" s="156" t="inlineStr">
        <is>
          <t>Ведущий принцип</t>
        </is>
      </c>
      <c r="D6" s="156" t="inlineStr">
        <is>
          <t>Типичная ошибка</t>
        </is>
      </c>
    </row>
    <row r="7" ht="30" customHeight="1" s="145">
      <c r="A7" s="215" t="inlineStr">
        <is>
          <t>0:00–0:02</t>
        </is>
      </c>
      <c r="B7" s="181" t="inlineStr">
        <is>
          <t>Hook — паттерн-прерывание</t>
        </is>
      </c>
      <c r="C7" s="216" t="inlineStr">
        <is>
          <t>Curiosity Trap, Authority</t>
        </is>
      </c>
      <c r="D7" s="207" t="inlineStr">
        <is>
          <t>Хук слишком общий, нет конкретной цифры/факта в первом кадре.</t>
        </is>
      </c>
    </row>
    <row r="8" ht="30" customHeight="1" s="145">
      <c r="A8" s="217" t="inlineStr">
        <is>
          <t>0:02–0:05</t>
        </is>
      </c>
      <c r="B8" s="184" t="inlineStr">
        <is>
          <t>Обещание / ставки</t>
        </is>
      </c>
      <c r="C8" s="218" t="inlineStr">
        <is>
          <t>Curiosity Trap</t>
        </is>
      </c>
      <c r="D8" s="210" t="inlineStr">
        <is>
          <t>Обещание шире, чем реальный payoff — убивает доверие к следующему видео.</t>
        </is>
      </c>
    </row>
    <row r="9" ht="30" customHeight="1" s="145">
      <c r="A9" s="215" t="inlineStr">
        <is>
          <t>0:05–0:22</t>
        </is>
      </c>
      <c r="B9" s="181" t="inlineStr">
        <is>
          <t>Problem → Story / демонстрация</t>
        </is>
      </c>
      <c r="C9" s="216" t="inlineStr">
        <is>
          <t>Storytelling, Identity Selling</t>
        </is>
      </c>
      <c r="D9" s="207" t="inlineStr">
        <is>
          <t>Демонстрация без сюжета — список фактов вместо истории с героем.</t>
        </is>
      </c>
    </row>
    <row r="10" ht="30" customHeight="1" s="145">
      <c r="A10" s="217" t="inlineStr">
        <is>
          <t>0:22–0:27</t>
        </is>
      </c>
      <c r="B10" s="184" t="inlineStr">
        <is>
          <t>Resolution — payoff</t>
        </is>
      </c>
      <c r="C10" s="218" t="inlineStr">
        <is>
          <t>Authority, Social Sharing</t>
        </is>
      </c>
      <c r="D10" s="210" t="inlineStr">
        <is>
          <t>Слабый, неконкретный вывод без измеримого результата.</t>
        </is>
      </c>
    </row>
    <row r="11" ht="30" customHeight="1" s="145">
      <c r="A11" s="215" t="inlineStr">
        <is>
          <t>0:27–0:30</t>
        </is>
      </c>
      <c r="B11" s="181" t="inlineStr">
        <is>
          <t>CTA / loop</t>
        </is>
      </c>
      <c r="C11" s="216" t="inlineStr">
        <is>
          <t>Social Sharing, Mere Exposure</t>
        </is>
      </c>
      <c r="D11" s="207" t="inlineStr">
        <is>
          <t>Общий CTA «подписывайся» вместо конкретного действия (сохрани/перешли/пришли).</t>
        </is>
      </c>
    </row>
    <row r="13" ht="21.75" customHeight="1" s="145">
      <c r="A13" s="169" t="inlineStr">
        <is>
          <t xml:space="preserve">  БИБЛИОТЕКА ХУКОВ — 15 ФОРМУЛ</t>
        </is>
      </c>
    </row>
    <row r="14" ht="21.75" customHeight="1" s="145">
      <c r="A14" s="156" t="inlineStr">
        <is>
          <t>#</t>
        </is>
      </c>
      <c r="B14" s="156" t="inlineStr">
        <is>
          <t>Формула хука</t>
        </is>
      </c>
      <c r="C14" s="156" t="inlineStr">
        <is>
          <t>Принцип</t>
        </is>
      </c>
      <c r="D14" s="156" t="inlineStr">
        <is>
          <t>Пример заполнения</t>
        </is>
      </c>
    </row>
    <row r="15" ht="25.5" customHeight="1" s="145">
      <c r="A15" s="187" t="n">
        <v>1</v>
      </c>
      <c r="B15" s="181" t="inlineStr">
        <is>
          <t>Я протестировал [N] [категория], и только один [результат]</t>
        </is>
      </c>
      <c r="C15" s="219" t="inlineStr">
        <is>
          <t>Authority + Curiosity</t>
        </is>
      </c>
      <c r="D15" s="207" t="inlineStr">
        <is>
          <t>Я протестировал 12 AI-планировщиков, и только один реально освободил мне вечер</t>
        </is>
      </c>
    </row>
    <row r="16" ht="25.5" customHeight="1" s="145">
      <c r="A16" s="191" t="n">
        <v>2</v>
      </c>
      <c r="B16" s="184" t="inlineStr">
        <is>
          <t>[N]% людей не знают, что [инструмент] умеет [X]</t>
        </is>
      </c>
      <c r="C16" s="220" t="inlineStr">
        <is>
          <t>Curiosity Trap</t>
        </is>
      </c>
      <c r="D16" s="210" t="inlineStr">
        <is>
          <t>92% людей не знают, что в Notion AI есть голосовой ввод задач</t>
        </is>
      </c>
    </row>
    <row r="17" ht="25.5" customHeight="1" s="145">
      <c r="A17" s="187" t="n">
        <v>3</v>
      </c>
      <c r="B17" s="181" t="inlineStr">
        <is>
          <t>Не [действие], пока не увидишь это</t>
        </is>
      </c>
      <c r="C17" s="219" t="inlineStr">
        <is>
          <t>Curiosity Trap</t>
        </is>
      </c>
      <c r="D17" s="207" t="inlineStr">
        <is>
          <t>Не плати за Canva Pro, пока не увидишь это</t>
        </is>
      </c>
    </row>
    <row r="18" ht="25.5" customHeight="1" s="145">
      <c r="A18" s="191" t="n">
        <v>4</v>
      </c>
      <c r="B18" s="184" t="inlineStr">
        <is>
          <t>Если ты [идентичность] — это изменит твою неделю</t>
        </is>
      </c>
      <c r="C18" s="220" t="inlineStr">
        <is>
          <t>Identity Selling</t>
        </is>
      </c>
      <c r="D18" s="210" t="inlineStr">
        <is>
          <t>Если ты фрилансер на удалёнке — это изменит твою неделю</t>
        </is>
      </c>
    </row>
    <row r="19" ht="25.5" customHeight="1" s="145">
      <c r="A19" s="187" t="n">
        <v>5</v>
      </c>
      <c r="B19" s="181" t="inlineStr">
        <is>
          <t>POV: ты [ситуация], а потом находишь [инструмент]</t>
        </is>
      </c>
      <c r="C19" s="219" t="inlineStr">
        <is>
          <t>Storytelling</t>
        </is>
      </c>
      <c r="D19" s="207" t="inlineStr">
        <is>
          <t>POV: дедлайн через час, а потом ты находишь это</t>
        </is>
      </c>
    </row>
    <row r="20" ht="25.5" customHeight="1" s="145">
      <c r="A20" s="191" t="n">
        <v>6</v>
      </c>
      <c r="B20" s="184" t="inlineStr">
        <is>
          <t>[N] секунд — и [результат], без [боль]</t>
        </is>
      </c>
      <c r="C20" s="220" t="inlineStr">
        <is>
          <t>Curiosity + Authority</t>
        </is>
      </c>
      <c r="D20" s="210" t="inlineStr">
        <is>
          <t>47 секунд — и готовый отчёт, без единой формулы Excel</t>
        </is>
      </c>
    </row>
    <row r="21" ht="25.5" customHeight="1" s="145">
      <c r="A21" s="187" t="n">
        <v>7</v>
      </c>
      <c r="B21" s="181" t="inlineStr">
        <is>
          <t>Это видео для тех, кто ещё [боль]</t>
        </is>
      </c>
      <c r="C21" s="219" t="inlineStr">
        <is>
          <t>Identity Selling</t>
        </is>
      </c>
      <c r="D21" s="207" t="inlineStr">
        <is>
          <t>Это видео для тех, кто ещё вручную переносит задачи из почты</t>
        </is>
      </c>
    </row>
    <row r="22" ht="25.5" customHeight="1" s="145">
      <c r="A22" s="191" t="n">
        <v>8</v>
      </c>
      <c r="B22" s="184" t="inlineStr">
        <is>
          <t>Удалил [N] приложений после того, как нашёл это</t>
        </is>
      </c>
      <c r="C22" s="220" t="inlineStr">
        <is>
          <t>Authority + Curiosity</t>
        </is>
      </c>
      <c r="D22" s="210" t="inlineStr">
        <is>
          <t>Удалил 4 приложения после того, как нашёл это</t>
        </is>
      </c>
    </row>
    <row r="23" ht="25.5" customHeight="1" s="145">
      <c r="A23" s="187" t="n">
        <v>9</v>
      </c>
      <c r="B23" s="181" t="inlineStr">
        <is>
          <t>Сравнил [A] и [B] — разница в [метрика] шокировала</t>
        </is>
      </c>
      <c r="C23" s="219" t="inlineStr">
        <is>
          <t>Social Sharing</t>
        </is>
      </c>
      <c r="D23" s="207" t="inlineStr">
        <is>
          <t>Сравнил ChatGPT и Claude в одном письме — разница в тоне шокировала</t>
        </is>
      </c>
    </row>
    <row r="24" ht="25.5" customHeight="1" s="145">
      <c r="A24" s="191" t="n">
        <v>10</v>
      </c>
      <c r="B24" s="184" t="inlineStr">
        <is>
          <t>То, что [инсайдеры] не расскажут тебе бесплатно</t>
        </is>
      </c>
      <c r="C24" s="220" t="inlineStr">
        <is>
          <t>Authority</t>
        </is>
      </c>
      <c r="D24" s="210" t="inlineStr">
        <is>
          <t>То, что AI-агентства не расскажут тебе бесплатно</t>
        </is>
      </c>
    </row>
    <row r="25" ht="25.5" customHeight="1" s="145">
      <c r="A25" s="187" t="n">
        <v>11</v>
      </c>
      <c r="B25" s="181" t="inlineStr">
        <is>
          <t>Я [боль], пока не сделал одно действие</t>
        </is>
      </c>
      <c r="C25" s="219" t="inlineStr">
        <is>
          <t>Storytelling</t>
        </is>
      </c>
      <c r="D25" s="207" t="inlineStr">
        <is>
          <t>Я терял 2 часа в день на отчёты, пока не сделал одно действие</t>
        </is>
      </c>
    </row>
    <row r="26" ht="25.5" customHeight="1" s="145">
      <c r="A26" s="191" t="n">
        <v>12</v>
      </c>
      <c r="B26" s="184" t="inlineStr">
        <is>
          <t>Сохрани это — пригодится [событие]</t>
        </is>
      </c>
      <c r="C26" s="220" t="inlineStr">
        <is>
          <t>Social Sharing</t>
        </is>
      </c>
      <c r="D26" s="210" t="inlineStr">
        <is>
          <t>Сохрани это — пригодится в понедельник утром</t>
        </is>
      </c>
    </row>
    <row r="27" ht="25.5" customHeight="1" s="145">
      <c r="A27" s="187" t="n">
        <v>13</v>
      </c>
      <c r="B27" s="181" t="inlineStr">
        <is>
          <t>[Инструмент] только что выпустил [фичу], и это меняет всё</t>
        </is>
      </c>
      <c r="C27" s="219" t="inlineStr">
        <is>
          <t>Curiosity + Authority</t>
        </is>
      </c>
      <c r="D27" s="207" t="inlineStr">
        <is>
          <t>ChatGPT только что выпустил функцию, и это меняет всё</t>
        </is>
      </c>
    </row>
    <row r="28" ht="25.5" customHeight="1" s="145">
      <c r="A28" s="191" t="n">
        <v>14</v>
      </c>
      <c r="B28" s="184" t="inlineStr">
        <is>
          <t>Перешли тому, кто до сих пор [боль]</t>
        </is>
      </c>
      <c r="C28" s="220" t="inlineStr">
        <is>
          <t>Social Sharing</t>
        </is>
      </c>
      <c r="D28" s="210" t="inlineStr">
        <is>
          <t>Перешли тому, кто до сих пор печатает письма с нуля</t>
        </is>
      </c>
    </row>
    <row r="29" ht="25.5" customHeight="1" s="145">
      <c r="A29" s="187" t="n">
        <v>15</v>
      </c>
      <c r="B29" s="181" t="inlineStr">
        <is>
          <t>Рубрика «[название]» #[N] — сегодня тестируем [тема]</t>
        </is>
      </c>
      <c r="C29" s="219" t="inlineStr">
        <is>
          <t>Mere Exposure</t>
        </is>
      </c>
      <c r="D29" s="207" t="inlineStr">
        <is>
          <t>Рубрика «AI за 60 секунд» #18 — сегодня тестируем Gamma</t>
        </is>
      </c>
    </row>
    <row r="31" ht="21.75" customHeight="1" s="145">
      <c r="A31" s="214" t="inlineStr">
        <is>
          <t xml:space="preserve">  ФОРМУЛЫ СЦЕНАРИЕВ ПО ТИПУ КОНТЕНТА</t>
        </is>
      </c>
    </row>
    <row r="32" ht="21.75" customHeight="1" s="145">
      <c r="A32" s="156" t="inlineStr">
        <is>
          <t>Тип</t>
        </is>
      </c>
      <c r="B32" s="156" t="inlineStr">
        <is>
          <t>Hook</t>
        </is>
      </c>
      <c r="C32" s="156" t="inlineStr">
        <is>
          <t>Problem → Story</t>
        </is>
      </c>
      <c r="D32" s="156" t="inlineStr">
        <is>
          <t>Resolution</t>
        </is>
      </c>
    </row>
    <row r="33" ht="39.75" customHeight="1" s="145">
      <c r="A33" s="221" t="inlineStr">
        <is>
          <t>Туториал</t>
        </is>
      </c>
      <c r="B33" s="206" t="inlineStr">
        <is>
          <t>«[N] секунд — и [результат]»</t>
        </is>
      </c>
      <c r="C33" s="206" t="inlineStr">
        <is>
          <t>Зритель не знает шага → показываем экран в реальном времени, без монтажных склеек на ключевом действии</t>
        </is>
      </c>
      <c r="D33" s="206" t="inlineStr">
        <is>
          <t>Финальный результат на экране + 1 фраза «вот и всё»</t>
        </is>
      </c>
    </row>
    <row r="34" ht="39.75" customHeight="1" s="145">
      <c r="A34" s="222" t="inlineStr">
        <is>
          <t>Сравнение</t>
        </is>
      </c>
      <c r="B34" s="209" t="inlineStr">
        <is>
          <t>«[A] vs [B] — разница в [метрика]»</t>
        </is>
      </c>
      <c r="C34" s="209" t="inlineStr">
        <is>
          <t>Одна и та же задача даётся обоим инструментам параллельно</t>
        </is>
      </c>
      <c r="D34" s="209" t="inlineStr">
        <is>
          <t>Чёткий победитель по 1 измеримому критерию, не по «вкусу»</t>
        </is>
      </c>
    </row>
    <row r="35" ht="39.75" customHeight="1" s="145">
      <c r="A35" s="221" t="inlineStr">
        <is>
          <t>Новость</t>
        </is>
      </c>
      <c r="B35" s="206" t="inlineStr">
        <is>
          <t>«[Инструмент] только что [событие]»</t>
        </is>
      </c>
      <c r="C35" s="206" t="inlineStr">
        <is>
          <t>Контекст за 3 секунды: что было раньше / что изменилось</t>
        </is>
      </c>
      <c r="D35" s="206" t="inlineStr">
        <is>
          <t>Что это значит для зрителя лично, прямо сейчас</t>
        </is>
      </c>
    </row>
    <row r="36" ht="39.75" customHeight="1" s="145">
      <c r="A36" s="222" t="inlineStr">
        <is>
          <t>Шоукейс</t>
        </is>
      </c>
      <c r="B36" s="209" t="inlineStr">
        <is>
          <t>«Посмотри, что умеет [инструмент]»</t>
        </is>
      </c>
      <c r="C36" s="209" t="inlineStr">
        <is>
          <t>Нарастание: от простого результата к неожиданному</t>
        </is>
      </c>
      <c r="D36" s="209" t="inlineStr">
        <is>
          <t>Самый сильный результат — последним кадром, без слов</t>
        </is>
      </c>
    </row>
    <row r="37" ht="39.75" customHeight="1" s="145">
      <c r="A37" s="221" t="inlineStr">
        <is>
          <t>История/признание</t>
        </is>
      </c>
      <c r="B37" s="206" t="inlineStr">
        <is>
          <t>«Я [боль], пока не [действие]»</t>
        </is>
      </c>
      <c r="C37" s="206" t="inlineStr">
        <is>
          <t>Конкретная ситуация с провалом → момент находки инструмента</t>
        </is>
      </c>
      <c r="D37" s="206" t="inlineStr">
        <is>
          <t>Измеримый итог + что изменилось в привычке</t>
        </is>
      </c>
    </row>
    <row r="39" ht="21.75" customHeight="1" s="145">
      <c r="A39" s="169" t="inlineStr">
        <is>
          <t xml:space="preserve">  КОНТЕНТ-ПИЛЛАРЫ И РАСПРЕДЕЛЕНИЕ (на 1 аккаунт · 7 видео/день)</t>
        </is>
      </c>
    </row>
    <row r="40" ht="21.75" customHeight="1" s="145">
      <c r="A40" s="156" t="inlineStr">
        <is>
          <t>Тип контента</t>
        </is>
      </c>
      <c r="B40" s="156" t="inlineStr">
        <is>
          <t>Доля</t>
        </is>
      </c>
      <c r="C40" s="156" t="inlineStr">
        <is>
          <t>Ведущий принцип</t>
        </is>
      </c>
      <c r="D40" s="156" t="inlineStr">
        <is>
          <t>Вирал-потенциал</t>
        </is>
      </c>
    </row>
    <row r="41" ht="24" customHeight="1" s="145">
      <c r="A41" s="223" t="inlineStr">
        <is>
          <t>Туториал / How-To</t>
        </is>
      </c>
      <c r="B41" s="224" t="n">
        <v>0.25</v>
      </c>
      <c r="C41" s="219" t="inlineStr">
        <is>
          <t>Authority + Curiosity Trap</t>
        </is>
      </c>
      <c r="D41" s="194" t="inlineStr">
        <is>
          <t>Высокий</t>
        </is>
      </c>
    </row>
    <row r="42" ht="24" customHeight="1" s="145">
      <c r="A42" s="225" t="inlineStr">
        <is>
          <t>AI-новости</t>
        </is>
      </c>
      <c r="B42" s="226" t="n">
        <v>0.2</v>
      </c>
      <c r="C42" s="220" t="inlineStr">
        <is>
          <t>Curiosity Trap + Mere Exposure</t>
        </is>
      </c>
      <c r="D42" s="195" t="inlineStr">
        <is>
          <t>Очень высокий</t>
        </is>
      </c>
    </row>
    <row r="43" ht="24" customHeight="1" s="145">
      <c r="A43" s="223" t="inlineStr">
        <is>
          <t>Сравнения</t>
        </is>
      </c>
      <c r="B43" s="224" t="n">
        <v>0.15</v>
      </c>
      <c r="C43" s="219" t="inlineStr">
        <is>
          <t>Social Sharing</t>
        </is>
      </c>
      <c r="D43" s="195" t="inlineStr">
        <is>
          <t>Очень высокий</t>
        </is>
      </c>
    </row>
    <row r="44" ht="24" customHeight="1" s="145">
      <c r="A44" s="225" t="inlineStr">
        <is>
          <t>Шоукейс / Wow-контент</t>
        </is>
      </c>
      <c r="B44" s="226" t="n">
        <v>0.15</v>
      </c>
      <c r="C44" s="220" t="inlineStr">
        <is>
          <t>Authority + Storytelling</t>
        </is>
      </c>
      <c r="D44" s="195" t="inlineStr">
        <is>
          <t>Очень высокий</t>
        </is>
      </c>
    </row>
    <row r="45" ht="24" customHeight="1" s="145">
      <c r="A45" s="223" t="inlineStr">
        <is>
          <t>Продуктивность / лайфхаки</t>
        </is>
      </c>
      <c r="B45" s="224" t="n">
        <v>0.1</v>
      </c>
      <c r="C45" s="219" t="inlineStr">
        <is>
          <t>Identity Selling</t>
        </is>
      </c>
      <c r="D45" s="194" t="inlineStr">
        <is>
          <t>Высокий</t>
        </is>
      </c>
    </row>
    <row r="46" ht="24" customHeight="1" s="145">
      <c r="A46" s="225" t="inlineStr">
        <is>
          <t>Юмор / AI-фейлы</t>
        </is>
      </c>
      <c r="B46" s="226" t="n">
        <v>0.1</v>
      </c>
      <c r="C46" s="220" t="inlineStr">
        <is>
          <t>Social Sharing</t>
        </is>
      </c>
      <c r="D46" s="189" t="inlineStr">
        <is>
          <t>Максимальный</t>
        </is>
      </c>
    </row>
    <row r="47" ht="24" customHeight="1" s="145">
      <c r="A47" s="223" t="inlineStr">
        <is>
          <t>Нативный промо</t>
        </is>
      </c>
      <c r="B47" s="224" t="n">
        <v>0.05</v>
      </c>
      <c r="C47" s="219" t="inlineStr">
        <is>
          <t>Identity Selling</t>
        </is>
      </c>
      <c r="D47" s="212" t="inlineStr">
        <is>
          <t>Средний</t>
        </is>
      </c>
    </row>
  </sheetData>
  <mergeCells count="7">
    <mergeCell ref="A1:D1"/>
    <mergeCell ref="A5:D5"/>
    <mergeCell ref="A31:D31"/>
    <mergeCell ref="A3:D3"/>
    <mergeCell ref="A39:D39"/>
    <mergeCell ref="A2:D2"/>
    <mergeCell ref="A13:D13"/>
  </mergeCells>
  <printOptions horizontalCentered="0" verticalCentered="0" headings="0" gridLines="0" gridLinesSet="1"/>
  <pageMargins left="0.3" right="0.3" top="0.4" bottom="0.4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B5650A"/>
    <outlinePr summaryBelow="1" summaryRight="1"/>
    <pageSetUpPr fitToPage="1"/>
  </sheetPr>
  <dimension ref="A1:H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144" min="1" max="1"/>
    <col width="22" customWidth="1" style="144" min="2" max="2"/>
    <col width="30" customWidth="1" style="144" min="3" max="3"/>
    <col width="22" customWidth="1" style="144" min="4" max="4"/>
    <col width="13" customWidth="1" style="144" min="5" max="6"/>
    <col width="14" customWidth="1" style="144" min="7" max="7"/>
    <col width="22" customWidth="1" style="144" min="8" max="8"/>
  </cols>
  <sheetData>
    <row r="1" ht="19.5" customHeight="1" s="145">
      <c r="A1" s="227" t="inlineStr">
        <is>
          <t>LAYER 4 · EXECUTION</t>
        </is>
      </c>
    </row>
    <row r="2" ht="36" customHeight="1" s="145">
      <c r="A2" s="147" t="inlineStr">
        <is>
          <t>⚙️  ПРОИЗВОДСТВЕННЫЙ ПАЙПЛАЙН — END TO END</t>
        </is>
      </c>
    </row>
    <row r="3" ht="30" customHeight="1" s="145">
      <c r="A3" s="148" t="inlineStr">
        <is>
          <t>Путь одного сценария от идеи до публикации на 100 видео/день.</t>
        </is>
      </c>
    </row>
    <row r="4" ht="7.5" customHeight="1" s="145"/>
    <row r="5" ht="21.75" customHeight="1" s="145">
      <c r="A5" s="228" t="inlineStr">
        <is>
          <t xml:space="preserve">  8 ШАГОВ ПРОИЗВОДСТВА</t>
        </is>
      </c>
    </row>
    <row r="6" ht="24" customHeight="1" s="145">
      <c r="A6" s="156" t="inlineStr">
        <is>
          <t>#</t>
        </is>
      </c>
      <c r="B6" s="156" t="inlineStr">
        <is>
          <t>Этап</t>
        </is>
      </c>
      <c r="C6" s="156" t="inlineStr">
        <is>
          <t>AI-инструменты</t>
        </is>
      </c>
      <c r="D6" s="156" t="inlineStr">
        <is>
          <t>Ответственный</t>
        </is>
      </c>
      <c r="E6" s="156" t="inlineStr">
        <is>
          <t>Мин/видео</t>
        </is>
      </c>
      <c r="F6" s="156" t="inlineStr">
        <is>
          <t>Часов/день</t>
        </is>
      </c>
      <c r="G6" s="156" t="inlineStr">
        <is>
          <t>Автоматизация</t>
        </is>
      </c>
      <c r="H6" s="156" t="inlineStr">
        <is>
          <t>Результат</t>
        </is>
      </c>
    </row>
    <row r="7" ht="36" customHeight="1" s="145">
      <c r="A7" s="229" t="n">
        <v>1</v>
      </c>
      <c r="B7" s="230" t="inlineStr">
        <is>
          <t>Тренд-ресёрч</t>
        </is>
      </c>
      <c r="C7" s="230" t="inlineStr">
        <is>
          <t>Google Trends, TrendTok, Creative Center</t>
        </is>
      </c>
      <c r="D7" s="230" t="inlineStr">
        <is>
          <t>Тренд-ресёрчер</t>
        </is>
      </c>
      <c r="E7" s="231" t="inlineStr">
        <is>
          <t>1,2</t>
        </is>
      </c>
      <c r="F7" s="231" t="inlineStr">
        <is>
          <t>4</t>
        </is>
      </c>
      <c r="G7" s="232" t="inlineStr">
        <is>
          <t>Частичная</t>
        </is>
      </c>
      <c r="H7" s="230" t="inlineStr">
        <is>
          <t>100 утверждённых тем дня</t>
        </is>
      </c>
    </row>
    <row r="8" ht="36" customHeight="1" s="145">
      <c r="A8" s="233" t="n">
        <v>2</v>
      </c>
      <c r="B8" s="234" t="inlineStr">
        <is>
          <t>Генерация скрипта</t>
        </is>
      </c>
      <c r="C8" s="234" t="inlineStr">
        <is>
          <t>Claude / GPT-4o + шаблоны промптов</t>
        </is>
      </c>
      <c r="D8" s="234" t="inlineStr">
        <is>
          <t>Prompt-инженер</t>
        </is>
      </c>
      <c r="E8" s="235" t="inlineStr">
        <is>
          <t>3</t>
        </is>
      </c>
      <c r="F8" s="235" t="inlineStr">
        <is>
          <t>5 (batch)</t>
        </is>
      </c>
      <c r="G8" s="236" t="inlineStr">
        <is>
          <t>Высокая</t>
        </is>
      </c>
      <c r="H8" s="234" t="inlineStr">
        <is>
          <t>100 скриптов 30–60 сек</t>
        </is>
      </c>
    </row>
    <row r="9" ht="36" customHeight="1" s="145">
      <c r="A9" s="229" t="n">
        <v>3</v>
      </c>
      <c r="B9" s="230" t="inlineStr">
        <is>
          <t>Хук + обложка</t>
        </is>
      </c>
      <c r="C9" s="230" t="inlineStr">
        <is>
          <t>GPT-4o + база A/B хуков</t>
        </is>
      </c>
      <c r="D9" s="230" t="inlineStr">
        <is>
          <t>Контент-стратег</t>
        </is>
      </c>
      <c r="E9" s="231" t="inlineStr">
        <is>
          <t>1,5</t>
        </is>
      </c>
      <c r="F9" s="231" t="inlineStr">
        <is>
          <t>2,5</t>
        </is>
      </c>
      <c r="G9" s="236" t="inlineStr">
        <is>
          <t>Высокая</t>
        </is>
      </c>
      <c r="H9" s="230" t="inlineStr">
        <is>
          <t>100 хуков + темы обложек</t>
        </is>
      </c>
    </row>
    <row r="10" ht="36" customHeight="1" s="145">
      <c r="A10" s="233" t="n">
        <v>4</v>
      </c>
      <c r="B10" s="234" t="inlineStr">
        <is>
          <t>Войсовер</t>
        </is>
      </c>
      <c r="C10" s="234" t="inlineStr">
        <is>
          <t>ElevenLabs (batch API)</t>
        </is>
      </c>
      <c r="D10" s="234" t="inlineStr">
        <is>
          <t>Авто</t>
        </is>
      </c>
      <c r="E10" s="235" t="inlineStr">
        <is>
          <t>2</t>
        </is>
      </c>
      <c r="F10" s="235" t="inlineStr">
        <is>
          <t>авто</t>
        </is>
      </c>
      <c r="G10" s="236" t="inlineStr">
        <is>
          <t>Полная</t>
        </is>
      </c>
      <c r="H10" s="234" t="inlineStr">
        <is>
          <t>100 аудиодорожек</t>
        </is>
      </c>
    </row>
    <row r="11" ht="36" customHeight="1" s="145">
      <c r="A11" s="229" t="n">
        <v>5</v>
      </c>
      <c r="B11" s="230" t="inlineStr">
        <is>
          <t>Видеопродакшн</t>
        </is>
      </c>
      <c r="C11" s="230" t="inlineStr">
        <is>
          <t>CapCut auto-cut + HeyGen/Runway</t>
        </is>
      </c>
      <c r="D11" s="230" t="inlineStr">
        <is>
          <t>Видеоредактор</t>
        </is>
      </c>
      <c r="E11" s="231" t="inlineStr">
        <is>
          <t>8</t>
        </is>
      </c>
      <c r="F11" s="231" t="inlineStr">
        <is>
          <t>13</t>
        </is>
      </c>
      <c r="G11" s="232" t="inlineStr">
        <is>
          <t>Средняя</t>
        </is>
      </c>
      <c r="H11" s="230" t="inlineStr">
        <is>
          <t>100 черновых видео</t>
        </is>
      </c>
    </row>
    <row r="12" ht="36" customHeight="1" s="145">
      <c r="A12" s="233" t="n">
        <v>6</v>
      </c>
      <c r="B12" s="234" t="inlineStr">
        <is>
          <t>Субтитры + оформление</t>
        </is>
      </c>
      <c r="C12" s="234" t="inlineStr">
        <is>
          <t>CapCut auto-subs + Canva-шаблоны</t>
        </is>
      </c>
      <c r="D12" s="234" t="inlineStr">
        <is>
          <t>Видеоредактор</t>
        </is>
      </c>
      <c r="E12" s="235" t="inlineStr">
        <is>
          <t>2</t>
        </is>
      </c>
      <c r="F12" s="235" t="inlineStr">
        <is>
          <t>3,5</t>
        </is>
      </c>
      <c r="G12" s="236" t="inlineStr">
        <is>
          <t>Высокая</t>
        </is>
      </c>
      <c r="H12" s="234" t="inlineStr">
        <is>
          <t>100 готовых Reels</t>
        </is>
      </c>
    </row>
    <row r="13" ht="36" customHeight="1" s="145">
      <c r="A13" s="229" t="n">
        <v>7</v>
      </c>
      <c r="B13" s="230" t="inlineStr">
        <is>
          <t>QC-проверка</t>
        </is>
      </c>
      <c r="C13" s="230" t="inlineStr">
        <is>
          <t>Ручной spot-check 20%</t>
        </is>
      </c>
      <c r="D13" s="230" t="inlineStr">
        <is>
          <t>Контент-директор + стратег</t>
        </is>
      </c>
      <c r="E13" s="231" t="inlineStr">
        <is>
          <t>0,5</t>
        </is>
      </c>
      <c r="F13" s="231" t="inlineStr">
        <is>
          <t>1</t>
        </is>
      </c>
      <c r="G13" s="237" t="inlineStr">
        <is>
          <t>Ручная</t>
        </is>
      </c>
      <c r="H13" s="230" t="inlineStr">
        <is>
          <t>&lt;10% уходит на переделку</t>
        </is>
      </c>
    </row>
    <row r="14" ht="36" customHeight="1" s="145">
      <c r="A14" s="233" t="n">
        <v>8</v>
      </c>
      <c r="B14" s="234" t="inlineStr">
        <is>
          <t>Публикация</t>
        </is>
      </c>
      <c r="C14" s="234" t="inlineStr">
        <is>
          <t>Later / Buffer / Meta Business Suite</t>
        </is>
      </c>
      <c r="D14" s="234" t="inlineStr">
        <is>
          <t>Менеджер аккаунтов</t>
        </is>
      </c>
      <c r="E14" s="235" t="inlineStr">
        <is>
          <t>0,5</t>
        </is>
      </c>
      <c r="F14" s="235" t="inlineStr">
        <is>
          <t>1</t>
        </is>
      </c>
      <c r="G14" s="236" t="inlineStr">
        <is>
          <t>Высокая</t>
        </is>
      </c>
      <c r="H14" s="234" t="inlineStr">
        <is>
          <t>100 запланированных постов</t>
        </is>
      </c>
    </row>
    <row r="15" ht="24" customHeight="1" s="145">
      <c r="A15" s="197" t="inlineStr">
        <is>
          <t>ИТОГО НА 100 ВИДЕО/ДЕНЬ</t>
        </is>
      </c>
      <c r="E15" s="198" t="inlineStr">
        <is>
          <t>≈19 мин/видео</t>
        </is>
      </c>
      <c r="F15" s="198" t="inlineStr">
        <is>
          <t>≈30 ч / 14 чел</t>
        </is>
      </c>
      <c r="G15" s="199" t="inlineStr">
        <is>
          <t>При полной автоматизации войсовера и субтитров</t>
        </is>
      </c>
    </row>
  </sheetData>
  <mergeCells count="6">
    <mergeCell ref="A3:H3"/>
    <mergeCell ref="A5:H5"/>
    <mergeCell ref="G15:H15"/>
    <mergeCell ref="A2:H2"/>
    <mergeCell ref="A15:D15"/>
    <mergeCell ref="A1:H1"/>
  </mergeCells>
  <printOptions horizontalCentered="0" verticalCentered="0" headings="0" gridLines="0" gridLinesSet="1"/>
  <pageMargins left="0.3" right="0.3" top="0.4" bottom="0.4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B5650A"/>
    <outlinePr summaryBelow="1" summaryRight="1"/>
    <pageSetUpPr fitToPage="1"/>
  </sheetPr>
  <dimension ref="A1:F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44" min="1" max="1"/>
    <col width="9" customWidth="1" style="144" min="2" max="2"/>
    <col width="42" customWidth="1" style="144" min="3" max="3"/>
    <col width="30" customWidth="1" style="144" min="4" max="4"/>
    <col width="14" customWidth="1" style="144" min="5" max="5"/>
    <col width="16" customWidth="1" style="144" min="6" max="6"/>
  </cols>
  <sheetData>
    <row r="1" ht="19.5" customHeight="1" s="145">
      <c r="A1" s="227" t="inlineStr">
        <is>
          <t>LAYER 4 · EXECUTION</t>
        </is>
      </c>
    </row>
    <row r="2" ht="36" customHeight="1" s="145">
      <c r="A2" s="147" t="inlineStr">
        <is>
          <t>👥  КОМАНДА И РОЛИ</t>
        </is>
      </c>
    </row>
    <row r="3" ht="30" customHeight="1" s="145">
      <c r="A3" s="148" t="inlineStr">
        <is>
          <t>Минимальный состав, необходимый для устойчивых 100 видео/день.</t>
        </is>
      </c>
    </row>
    <row r="4" ht="7.5" customHeight="1" s="145"/>
    <row r="5" ht="21.75" customHeight="1" s="145">
      <c r="A5" s="228" t="inlineStr">
        <is>
          <t xml:space="preserve">  СОСТАВ КОМАНДЫ</t>
        </is>
      </c>
    </row>
    <row r="6" ht="24" customHeight="1" s="145">
      <c r="A6" s="156" t="inlineStr">
        <is>
          <t>Роль</t>
        </is>
      </c>
      <c r="B6" s="156" t="inlineStr">
        <is>
          <t>Кол-во</t>
        </is>
      </c>
      <c r="C6" s="156" t="inlineStr">
        <is>
          <t>Зона ответственности</t>
        </is>
      </c>
      <c r="D6" s="156" t="inlineStr">
        <is>
          <t>Инструменты</t>
        </is>
      </c>
      <c r="E6" s="156" t="inlineStr">
        <is>
          <t>Ставка/мес ($)</t>
        </is>
      </c>
      <c r="F6" s="156" t="inlineStr">
        <is>
          <t>Итого/мес ($)</t>
        </is>
      </c>
    </row>
    <row r="7" ht="37.5" customHeight="1" s="145">
      <c r="A7" s="158" t="inlineStr">
        <is>
          <t>Контент-директор</t>
        </is>
      </c>
      <c r="B7" s="238" t="n">
        <v>1</v>
      </c>
      <c r="C7" s="230" t="inlineStr">
        <is>
          <t>Стратегия, editorial plan, утверждение форматов, QC-шлюз</t>
        </is>
      </c>
      <c r="D7" s="207" t="inlineStr">
        <is>
          <t>Notion, Metricool</t>
        </is>
      </c>
      <c r="E7" s="239" t="n">
        <v>3000</v>
      </c>
      <c r="F7" s="240">
        <f>B7*E7</f>
        <v/>
      </c>
    </row>
    <row r="8" ht="37.5" customHeight="1" s="145">
      <c r="A8" s="162" t="inlineStr">
        <is>
          <t>Prompt-инженер</t>
        </is>
      </c>
      <c r="B8" s="241" t="n">
        <v>2</v>
      </c>
      <c r="C8" s="234" t="inlineStr">
        <is>
          <t>Промпты для скриптов/голоса/видео, шаблоны автоматизации</t>
        </is>
      </c>
      <c r="D8" s="210" t="inlineStr">
        <is>
          <t>Claude, GPT-4o, ElevenLabs</t>
        </is>
      </c>
      <c r="E8" s="242" t="n">
        <v>1500</v>
      </c>
      <c r="F8" s="240">
        <f>B8*E8</f>
        <v/>
      </c>
    </row>
    <row r="9" ht="37.5" customHeight="1" s="145">
      <c r="A9" s="158" t="inlineStr">
        <is>
          <t>Видеоредактор</t>
        </is>
      </c>
      <c r="B9" s="238" t="n">
        <v>4</v>
      </c>
      <c r="C9" s="230" t="inlineStr">
        <is>
          <t>Монтаж, субтитры, обложки — 25 видео/день на человека</t>
        </is>
      </c>
      <c r="D9" s="207" t="inlineStr">
        <is>
          <t>CapCut Pro, Canva</t>
        </is>
      </c>
      <c r="E9" s="239" t="n">
        <v>800</v>
      </c>
      <c r="F9" s="240">
        <f>B9*E9</f>
        <v/>
      </c>
    </row>
    <row r="10" ht="37.5" customHeight="1" s="145">
      <c r="A10" s="162" t="inlineStr">
        <is>
          <t>Контент-стратег</t>
        </is>
      </c>
      <c r="B10" s="241" t="n">
        <v>2</v>
      </c>
      <c r="C10" s="234" t="inlineStr">
        <is>
          <t>Контент-план, рубрики, A/B хуков, промо-слот</t>
        </is>
      </c>
      <c r="D10" s="210" t="inlineStr">
        <is>
          <t>Notion, Miro, Sheets</t>
        </is>
      </c>
      <c r="E10" s="242" t="n">
        <v>1200</v>
      </c>
      <c r="F10" s="240">
        <f>B10*E10</f>
        <v/>
      </c>
    </row>
    <row r="11" ht="37.5" customHeight="1" s="145">
      <c r="A11" s="158" t="inlineStr">
        <is>
          <t>Тренд-ресёрчер</t>
        </is>
      </c>
      <c r="B11" s="238" t="n">
        <v>2</v>
      </c>
      <c r="C11" s="230" t="inlineStr">
        <is>
          <t>Мониторинг тем, конкуренты, ключевые слова</t>
        </is>
      </c>
      <c r="D11" s="207" t="inlineStr">
        <is>
          <t>GPT-4o, Google Trends</t>
        </is>
      </c>
      <c r="E11" s="239" t="n">
        <v>700</v>
      </c>
      <c r="F11" s="240">
        <f>B11*E11</f>
        <v/>
      </c>
    </row>
    <row r="12" ht="37.5" customHeight="1" s="145">
      <c r="A12" s="162" t="inlineStr">
        <is>
          <t>Менеджер аккаунтов</t>
        </is>
      </c>
      <c r="B12" s="241" t="n">
        <v>2</v>
      </c>
      <c r="C12" s="234" t="inlineStr">
        <is>
          <t>Публикация, расписание, ответы на комментарии</t>
        </is>
      </c>
      <c r="D12" s="210" t="inlineStr">
        <is>
          <t>Later, Buffer</t>
        </is>
      </c>
      <c r="E12" s="242" t="n">
        <v>800</v>
      </c>
      <c r="F12" s="240">
        <f>B12*E12</f>
        <v/>
      </c>
    </row>
    <row r="13" ht="37.5" customHeight="1" s="145">
      <c r="A13" s="158" t="inlineStr">
        <is>
          <t>Аналитик</t>
        </is>
      </c>
      <c r="B13" s="238" t="n">
        <v>1</v>
      </c>
      <c r="C13" s="230" t="inlineStr">
        <is>
          <t>Отчётность, kill/scale-решения, оптимизация воронки</t>
        </is>
      </c>
      <c r="D13" s="207" t="inlineStr">
        <is>
          <t>Metricool, GA4</t>
        </is>
      </c>
      <c r="E13" s="239" t="n">
        <v>1500</v>
      </c>
      <c r="F13" s="240">
        <f>B13*E13</f>
        <v/>
      </c>
    </row>
    <row r="14" ht="24" customHeight="1" s="145">
      <c r="A14" s="197" t="inlineStr">
        <is>
          <t>ИТОГО КОМАНДА / МЕСЯЦ</t>
        </is>
      </c>
      <c r="E14" s="198">
        <f>SUM(B7:B13)</f>
        <v/>
      </c>
      <c r="F14" s="243">
        <f>SUM(F7:F13)</f>
        <v/>
      </c>
    </row>
    <row r="16" ht="21.75" customHeight="1" s="145">
      <c r="A16" s="169" t="inlineStr">
        <is>
          <t xml:space="preserve">  ПРИМЕЧАНИЯ</t>
        </is>
      </c>
    </row>
    <row r="17" ht="19.5" customHeight="1" s="145">
      <c r="A17" s="244" t="inlineStr">
        <is>
          <t>•  Ставки ориентированы на удалённых специалистов СНГ/Азии, не США/Европа.</t>
        </is>
      </c>
    </row>
    <row r="18" ht="19.5" customHeight="1" s="145">
      <c r="A18" s="202" t="inlineStr">
        <is>
          <t>•  Prompt-инженер и тренд-ресёрчер могут совмещаться на фазе 0–1 (до 60 видео/день).</t>
        </is>
      </c>
    </row>
    <row r="19" ht="19.5" customHeight="1" s="145">
      <c r="A19" s="244" t="inlineStr">
        <is>
          <t>•  Фаза 0–1 (тест): команда из 7 человек; полный найм — к фазе 2 (см. 01 Strategy).</t>
        </is>
      </c>
    </row>
    <row r="20" ht="19.5" customHeight="1" s="145">
      <c r="A20" s="202" t="inlineStr">
        <is>
          <t>•  Видеомонтаж частично выносится на аутсорс (Fiverr/Toptal) для снижения фикс-затрат.</t>
        </is>
      </c>
    </row>
  </sheetData>
  <mergeCells count="10">
    <mergeCell ref="A2:F2"/>
    <mergeCell ref="A16:F16"/>
    <mergeCell ref="A19:F19"/>
    <mergeCell ref="A1:F1"/>
    <mergeCell ref="A5:F5"/>
    <mergeCell ref="A17:F17"/>
    <mergeCell ref="A18:F18"/>
    <mergeCell ref="A3:F3"/>
    <mergeCell ref="A20:F20"/>
    <mergeCell ref="A14:D14"/>
  </mergeCells>
  <printOptions horizontalCentered="0" verticalCentered="0" headings="0" gridLines="0" gridLinesSet="1"/>
  <pageMargins left="0.3" right="0.3" top="0.4" bottom="0.4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B5650A"/>
    <outlinePr summaryBelow="1" summaryRight="1"/>
    <pageSetUpPr fitToPage="1"/>
  </sheetPr>
  <dimension ref="A1:E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44" min="1" max="1"/>
    <col width="26" customWidth="1" style="144" min="2" max="2"/>
    <col width="34" customWidth="1" style="144" min="3" max="3"/>
    <col width="14" customWidth="1" style="144" min="4" max="4"/>
    <col width="24" customWidth="1" style="144" min="5" max="5"/>
  </cols>
  <sheetData>
    <row r="1" ht="19.5" customHeight="1" s="145">
      <c r="A1" s="227" t="inlineStr">
        <is>
          <t>LAYER 4 · EXECUTION</t>
        </is>
      </c>
    </row>
    <row r="2" ht="36" customHeight="1" s="145">
      <c r="A2" s="147" t="inlineStr">
        <is>
          <t>🛠️  AI-СТЕК И АВТОМАТИЗАЦИЯ</t>
        </is>
      </c>
    </row>
    <row r="3" ht="30" customHeight="1" s="145">
      <c r="A3" s="148" t="inlineStr">
        <is>
          <t>Технологический слой, который позволяет 14 людям производить 100 видео/день.</t>
        </is>
      </c>
    </row>
    <row r="4" ht="7.5" customHeight="1" s="145"/>
    <row r="5" ht="21.75" customHeight="1" s="145">
      <c r="A5" s="228" t="inlineStr">
        <is>
          <t xml:space="preserve">  ИНСТРУМЕНТЫ ПО КАТЕГОРИЯМ</t>
        </is>
      </c>
    </row>
    <row r="6" ht="24" customHeight="1" s="145">
      <c r="A6" s="156" t="inlineStr">
        <is>
          <t>Категория</t>
        </is>
      </c>
      <c r="B6" s="156" t="inlineStr">
        <is>
          <t>Инструмент</t>
        </is>
      </c>
      <c r="C6" s="156" t="inlineStr">
        <is>
          <t>Назначение</t>
        </is>
      </c>
      <c r="D6" s="156" t="inlineStr">
        <is>
          <t>Цена/мес ($)</t>
        </is>
      </c>
      <c r="E6" s="156" t="inlineStr">
        <is>
          <t>Примечание</t>
        </is>
      </c>
    </row>
    <row r="7" ht="25.5" customHeight="1" s="145">
      <c r="A7" s="245" t="inlineStr">
        <is>
          <t>Скрипты &amp; идеи</t>
        </is>
      </c>
      <c r="B7" s="223" t="inlineStr">
        <is>
          <t>ChatGPT Plus × 5</t>
        </is>
      </c>
      <c r="C7" s="230" t="inlineStr">
        <is>
          <t>Генерация скриптов, тренд-ресёрч, хуки</t>
        </is>
      </c>
      <c r="D7" s="240" t="n">
        <v>100</v>
      </c>
      <c r="E7" s="246" t="inlineStr">
        <is>
          <t>Batch-промпты</t>
        </is>
      </c>
    </row>
    <row r="8" ht="25.5" customHeight="1" s="145">
      <c r="A8" s="247" t="n"/>
      <c r="B8" s="225" t="inlineStr">
        <is>
          <t>Claude Pro × 3</t>
        </is>
      </c>
      <c r="C8" s="234" t="inlineStr">
        <is>
          <t>Длинные скрипты, анализ конкурентов</t>
        </is>
      </c>
      <c r="D8" s="240" t="n">
        <v>60</v>
      </c>
      <c r="E8" s="248" t="inlineStr">
        <is>
          <t>Лучше для связных текстов</t>
        </is>
      </c>
    </row>
    <row r="9" ht="25.5" customHeight="1" s="145">
      <c r="A9" s="245" t="inlineStr">
        <is>
          <t>Голос</t>
        </is>
      </c>
      <c r="B9" s="223" t="inlineStr">
        <is>
          <t>ElevenLabs Creator</t>
        </is>
      </c>
      <c r="C9" s="230" t="inlineStr">
        <is>
          <t>AI-войсовер, до 100 треков/день</t>
        </is>
      </c>
      <c r="D9" s="240" t="n">
        <v>99</v>
      </c>
      <c r="E9" s="246" t="inlineStr">
        <is>
          <t>Резерв: Business при нехватке лимита</t>
        </is>
      </c>
    </row>
    <row r="10" ht="25.5" customHeight="1" s="145">
      <c r="A10" s="247" t="inlineStr">
        <is>
          <t>Видео</t>
        </is>
      </c>
      <c r="B10" s="225" t="inlineStr">
        <is>
          <t>CapCut Pro × 10</t>
        </is>
      </c>
      <c r="C10" s="234" t="inlineStr">
        <is>
          <t>Монтаж, авто-субтитры, шаблоны</t>
        </is>
      </c>
      <c r="D10" s="240" t="n">
        <v>120</v>
      </c>
      <c r="E10" s="248" t="inlineStr">
        <is>
          <t>Ключевой инструмент пайплайна</t>
        </is>
      </c>
    </row>
    <row r="11" ht="25.5" customHeight="1" s="145">
      <c r="A11" s="245" t="n"/>
      <c r="B11" s="223" t="inlineStr">
        <is>
          <t>HeyGen Business</t>
        </is>
      </c>
      <c r="C11" s="230" t="inlineStr">
        <is>
          <t>AI-аватар, лицо ведущего</t>
        </is>
      </c>
      <c r="D11" s="240" t="n">
        <v>480</v>
      </c>
      <c r="E11" s="246" t="inlineStr">
        <is>
          <t>Альтернатива: Synthesia</t>
        </is>
      </c>
    </row>
    <row r="12" ht="25.5" customHeight="1" s="145">
      <c r="A12" s="247" t="n"/>
      <c r="B12" s="225" t="inlineStr">
        <is>
          <t>Runway Gen-3 Standard</t>
        </is>
      </c>
      <c r="C12" s="234" t="inlineStr">
        <is>
          <t>AI B-roll, визуальные эффекты</t>
        </is>
      </c>
      <c r="D12" s="240" t="n">
        <v>95</v>
      </c>
      <c r="E12" s="248" t="inlineStr">
        <is>
          <t>Альтернатива: Pika Labs</t>
        </is>
      </c>
    </row>
    <row r="13" ht="25.5" customHeight="1" s="145">
      <c r="A13" s="245" t="inlineStr">
        <is>
          <t>Дизайн</t>
        </is>
      </c>
      <c r="B13" s="223" t="inlineStr">
        <is>
          <t>Canva Pro × 5</t>
        </is>
      </c>
      <c r="C13" s="230" t="inlineStr">
        <is>
          <t>Обложки, оверлеи, брендинг</t>
        </is>
      </c>
      <c r="D13" s="240" t="n">
        <v>65</v>
      </c>
      <c r="E13" s="246" t="inlineStr">
        <is>
          <t>Шаблоны на все 15 аккаунтов</t>
        </is>
      </c>
    </row>
    <row r="14" ht="25.5" customHeight="1" s="145">
      <c r="A14" s="247" t="n"/>
      <c r="B14" s="225" t="inlineStr">
        <is>
          <t>Midjourney Pro × 3</t>
        </is>
      </c>
      <c r="C14" s="234" t="inlineStr">
        <is>
          <t>AI-изображения для превью</t>
        </is>
      </c>
      <c r="D14" s="240" t="n">
        <v>90</v>
      </c>
      <c r="E14" s="248" t="inlineStr">
        <is>
          <t>Fast hours для batch-режима</t>
        </is>
      </c>
    </row>
    <row r="15" ht="25.5" customHeight="1" s="145">
      <c r="A15" s="245" t="inlineStr">
        <is>
          <t>Публикация</t>
        </is>
      </c>
      <c r="B15" s="223" t="inlineStr">
        <is>
          <t>Later Growth</t>
        </is>
      </c>
      <c r="C15" s="230" t="inlineStr">
        <is>
          <t>Расписание постов, 5 аккаунтов</t>
        </is>
      </c>
      <c r="D15" s="240" t="n">
        <v>80</v>
      </c>
      <c r="E15" s="246" t="inlineStr">
        <is>
          <t>—</t>
        </is>
      </c>
    </row>
    <row r="16" ht="25.5" customHeight="1" s="145">
      <c r="A16" s="247" t="n"/>
      <c r="B16" s="225" t="inlineStr">
        <is>
          <t>Buffer Essentials</t>
        </is>
      </c>
      <c r="C16" s="234" t="inlineStr">
        <is>
          <t>Доп. 10 аккаунтов, аналитика</t>
        </is>
      </c>
      <c r="D16" s="240" t="n">
        <v>100</v>
      </c>
      <c r="E16" s="248" t="inlineStr">
        <is>
          <t>10 каналов</t>
        </is>
      </c>
    </row>
    <row r="17" ht="25.5" customHeight="1" s="145">
      <c r="A17" s="245" t="inlineStr">
        <is>
          <t>Аналитика</t>
        </is>
      </c>
      <c r="B17" s="223" t="inlineStr">
        <is>
          <t>Metricool Business</t>
        </is>
      </c>
      <c r="C17" s="230" t="inlineStr">
        <is>
          <t>Единый дашборд на 15 аккаунтов</t>
        </is>
      </c>
      <c r="D17" s="240" t="n">
        <v>119</v>
      </c>
      <c r="E17" s="246" t="inlineStr">
        <is>
          <t>Ключевой инструмент 08 KPI Dashboard</t>
        </is>
      </c>
    </row>
    <row r="18" ht="25.5" customHeight="1" s="145">
      <c r="A18" s="247" t="n"/>
      <c r="B18" s="225" t="inlineStr">
        <is>
          <t>Social Blade Pro</t>
        </is>
      </c>
      <c r="C18" s="234" t="inlineStr">
        <is>
          <t>Мониторинг роста аккаунтов</t>
        </is>
      </c>
      <c r="D18" s="240" t="n">
        <v>20</v>
      </c>
      <c r="E18" s="248" t="inlineStr">
        <is>
          <t>Конкурентная разведка</t>
        </is>
      </c>
    </row>
    <row r="19" ht="25.5" customHeight="1" s="145">
      <c r="A19" s="245" t="inlineStr">
        <is>
          <t>Инфраструктура</t>
        </is>
      </c>
      <c r="B19" s="223" t="inlineStr">
        <is>
          <t>VPN/прокси × 15</t>
        </is>
      </c>
      <c r="C19" s="230" t="inlineStr">
        <is>
          <t>Безопасность мультиаккаунтинга</t>
        </is>
      </c>
      <c r="D19" s="240" t="n">
        <v>100</v>
      </c>
      <c r="E19" s="246" t="inlineStr">
        <is>
          <t>BrightData / Smartproxy</t>
        </is>
      </c>
    </row>
    <row r="20" ht="25.5" customHeight="1" s="145">
      <c r="A20" s="247" t="n"/>
      <c r="B20" s="225" t="inlineStr">
        <is>
          <t>Google Workspace</t>
        </is>
      </c>
      <c r="C20" s="234" t="inlineStr">
        <is>
          <t>Хранение асетов, 2TB</t>
        </is>
      </c>
      <c r="D20" s="240" t="n">
        <v>36</v>
      </c>
      <c r="E20" s="248" t="inlineStr">
        <is>
          <t>Командная работа</t>
        </is>
      </c>
    </row>
    <row r="21" ht="25.5" customHeight="1" s="145">
      <c r="A21" s="245" t="n"/>
      <c r="B21" s="223" t="inlineStr">
        <is>
          <t>Notion Team</t>
        </is>
      </c>
      <c r="C21" s="230" t="inlineStr">
        <is>
          <t>Контент-календарь, база знаний</t>
        </is>
      </c>
      <c r="D21" s="240" t="n">
        <v>20</v>
      </c>
      <c r="E21" s="246" t="inlineStr">
        <is>
          <t>CRM для контента</t>
        </is>
      </c>
    </row>
    <row r="22" ht="24" customHeight="1" s="145">
      <c r="A22" s="197" t="inlineStr">
        <is>
          <t>ИТОГО AI-ИНСТРУМЕНТЫ / МЕСЯЦ</t>
        </is>
      </c>
      <c r="D22" s="243">
        <f>SUM(D7:D21)</f>
        <v/>
      </c>
      <c r="E22" s="199" t="inlineStr">
        <is>
          <t>Без платного трафика</t>
        </is>
      </c>
    </row>
    <row r="24" ht="21.75" customHeight="1" s="145">
      <c r="A24" s="169" t="inlineStr">
        <is>
          <t xml:space="preserve">  ОБЩИЙ БЮДЖЕТ ИСПОЛНЕНИЯ (cross-sheet)</t>
        </is>
      </c>
    </row>
    <row r="25" ht="21.75" customHeight="1" s="145">
      <c r="A25" s="249" t="inlineStr">
        <is>
          <t>Команда (см. 06 Team)</t>
        </is>
      </c>
      <c r="B25" s="153" t="n"/>
      <c r="C25" s="153" t="n"/>
      <c r="D25" s="250">
        <f>'👥 06 Team'!F14</f>
        <v/>
      </c>
      <c r="E25" s="174" t="n"/>
    </row>
    <row r="26" ht="21.75" customHeight="1" s="145">
      <c r="A26" s="251" t="inlineStr">
        <is>
          <t>AI-инструменты (выше)</t>
        </is>
      </c>
      <c r="B26" s="153" t="n"/>
      <c r="C26" s="153" t="n"/>
      <c r="D26" s="252">
        <f>'🛠️ 07 AI Stack'!D22</f>
        <v/>
      </c>
      <c r="E26" s="176" t="n"/>
    </row>
    <row r="27" ht="25.5" customHeight="1" s="145">
      <c r="A27" s="253" t="inlineStr">
        <is>
          <t>ИТОГО ЗАПУСК ИСПОЛНЕНИЯ / МЕСЯЦ</t>
        </is>
      </c>
      <c r="D27" s="254">
        <f>'👥 06 Team'!F14+'🛠️ 07 AI Stack'!D22</f>
        <v/>
      </c>
      <c r="E27" s="255" t="n"/>
    </row>
  </sheetData>
  <mergeCells count="9">
    <mergeCell ref="A25:C25"/>
    <mergeCell ref="A24:E24"/>
    <mergeCell ref="A2:E2"/>
    <mergeCell ref="A22:C22"/>
    <mergeCell ref="A27:C27"/>
    <mergeCell ref="A1:E1"/>
    <mergeCell ref="A5:E5"/>
    <mergeCell ref="A26:C26"/>
    <mergeCell ref="A3:E3"/>
  </mergeCells>
  <printOptions horizontalCentered="0" verticalCentered="0" headings="0" gridLines="0" gridLinesSet="1"/>
  <pageMargins left="0.3" right="0.3" top="0.4" bottom="0.4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147D4B"/>
    <outlinePr summaryBelow="1" summaryRight="1"/>
    <pageSetUpPr fitToPage="1"/>
  </sheetPr>
  <dimension ref="A1:F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144" min="1" max="1"/>
    <col width="14" customWidth="1" style="144" min="2" max="4"/>
    <col width="26" customWidth="1" style="144" min="5" max="5"/>
    <col width="13" customWidth="1" style="144" min="6" max="6"/>
  </cols>
  <sheetData>
    <row r="1" ht="19.5" customHeight="1" s="145">
      <c r="A1" s="256" t="inlineStr">
        <is>
          <t>LAYER 5 · KPI &amp; ANALYTICS</t>
        </is>
      </c>
    </row>
    <row r="2" ht="36" customHeight="1" s="145">
      <c r="A2" s="147" t="inlineStr">
        <is>
          <t>📈  ДАШБОРД — ПРОСМОТРЫ · ENGAGEMENT · РОСТ · УДЕРЖАНИЕ · КОНВЕРСИИ</t>
        </is>
      </c>
    </row>
    <row r="3" ht="30" customHeight="1" s="145">
      <c r="A3" s="148" t="inlineStr">
        <is>
          <t>Если метрика не в этом списке — она не двигает решения kill/scale (см. 01 Strategy, принцип 3).</t>
        </is>
      </c>
    </row>
    <row r="4" ht="7.5" customHeight="1" s="145"/>
    <row r="5" ht="21.75" customHeight="1" s="145">
      <c r="A5" s="257" t="inlineStr">
        <is>
          <t xml:space="preserve">  МЕТРИКИ И ЦЕЛИ ПО МЕСЯЦАМ</t>
        </is>
      </c>
    </row>
    <row r="6" ht="24" customHeight="1" s="145">
      <c r="A6" s="156" t="inlineStr">
        <is>
          <t>Метрика</t>
        </is>
      </c>
      <c r="B6" s="156" t="inlineStr">
        <is>
          <t>Мес. 1</t>
        </is>
      </c>
      <c r="C6" s="156" t="inlineStr">
        <is>
          <t>Мес. 3</t>
        </is>
      </c>
      <c r="D6" s="156" t="inlineStr">
        <is>
          <t>Мес. 6 (цель)</t>
        </is>
      </c>
      <c r="E6" s="156" t="inlineStr">
        <is>
          <t>Как считается / инструмент</t>
        </is>
      </c>
      <c r="F6" s="156" t="inlineStr">
        <is>
          <t>Частота</t>
        </is>
      </c>
    </row>
    <row r="7" ht="19.5" customHeight="1" s="145">
      <c r="A7" s="169" t="inlineStr">
        <is>
          <t xml:space="preserve">  1 · ПРОСМОТРЫ</t>
        </is>
      </c>
    </row>
    <row r="8" ht="21.75" customHeight="1" s="145">
      <c r="A8" s="223" t="inlineStr">
        <is>
          <t>Просмотры/месяц, все аккаунты</t>
        </is>
      </c>
      <c r="B8" s="258" t="inlineStr">
        <is>
          <t>5 000 000</t>
        </is>
      </c>
      <c r="C8" s="194" t="inlineStr">
        <is>
          <t>40 000 000</t>
        </is>
      </c>
      <c r="D8" s="195" t="inlineStr">
        <is>
          <t>100 000 000</t>
        </is>
      </c>
      <c r="E8" s="246" t="inlineStr">
        <is>
          <t>Сумма Reels-просмотров · Metricool / Insights</t>
        </is>
      </c>
      <c r="F8" s="259" t="inlineStr">
        <is>
          <t>Еженедельно</t>
        </is>
      </c>
    </row>
    <row r="9" ht="21.75" customHeight="1" s="145">
      <c r="A9" s="225" t="inlineStr">
        <is>
          <t>Среднее просмотров на видео</t>
        </is>
      </c>
      <c r="B9" s="258" t="inlineStr">
        <is>
          <t>1 667</t>
        </is>
      </c>
      <c r="C9" s="194" t="inlineStr">
        <is>
          <t>13 333</t>
        </is>
      </c>
      <c r="D9" s="195" t="inlineStr">
        <is>
          <t>33 333</t>
        </is>
      </c>
      <c r="E9" s="248" t="inlineStr">
        <is>
          <t>Views ÷ опубликованные видео за период</t>
        </is>
      </c>
      <c r="F9" s="260" t="inlineStr">
        <is>
          <t>Еженедельно</t>
        </is>
      </c>
    </row>
    <row r="10" ht="21.75" customHeight="1" s="145">
      <c r="A10" s="223" t="inlineStr">
        <is>
          <t>Доля видео с виральным охватом (&gt;10× подписчиков)</t>
        </is>
      </c>
      <c r="B10" s="258" t="inlineStr">
        <is>
          <t>1–2%</t>
        </is>
      </c>
      <c r="C10" s="194" t="inlineStr">
        <is>
          <t>5–8%</t>
        </is>
      </c>
      <c r="D10" s="195" t="inlineStr">
        <is>
          <t>10%+</t>
        </is>
      </c>
      <c r="E10" s="246" t="inlineStr">
        <is>
          <t>Ручной мониторинг по 09 Content Bank</t>
        </is>
      </c>
      <c r="F10" s="259" t="inlineStr">
        <is>
          <t>Еженедельно</t>
        </is>
      </c>
    </row>
    <row r="11" ht="19.5" customHeight="1" s="145">
      <c r="A11" s="169" t="inlineStr">
        <is>
          <t xml:space="preserve">  2 · ENGAGEMENT RATE</t>
        </is>
      </c>
    </row>
    <row r="12" ht="21.75" customHeight="1" s="145">
      <c r="A12" s="223" t="inlineStr">
        <is>
          <t>Engagement Rate, средний</t>
        </is>
      </c>
      <c r="B12" s="258" t="inlineStr">
        <is>
          <t>3,0%</t>
        </is>
      </c>
      <c r="C12" s="194" t="inlineStr">
        <is>
          <t>4,0%</t>
        </is>
      </c>
      <c r="D12" s="195" t="inlineStr">
        <is>
          <t>5,0%</t>
        </is>
      </c>
      <c r="E12" s="246" t="inlineStr">
        <is>
          <t>(Лайки+Комм.+Сейвы+Шеры) ÷ Просмотры</t>
        </is>
      </c>
      <c r="F12" s="259" t="inlineStr">
        <is>
          <t>Еженедельно</t>
        </is>
      </c>
    </row>
    <row r="13" ht="21.75" customHeight="1" s="145">
      <c r="A13" s="225" t="inlineStr">
        <is>
          <t>Sends per reach (репосты в директ)</t>
        </is>
      </c>
      <c r="B13" s="258" t="inlineStr">
        <is>
          <t>0,3%</t>
        </is>
      </c>
      <c r="C13" s="194" t="inlineStr">
        <is>
          <t>0,6%</t>
        </is>
      </c>
      <c r="D13" s="195" t="inlineStr">
        <is>
          <t>1,0%+</t>
        </is>
      </c>
      <c r="E13" s="248" t="inlineStr">
        <is>
          <t>Метрика Instagram Insights «Sends»</t>
        </is>
      </c>
      <c r="F13" s="260" t="inlineStr">
        <is>
          <t>Еженедельно</t>
        </is>
      </c>
    </row>
    <row r="14" ht="21.75" customHeight="1" s="145">
      <c r="A14" s="223" t="inlineStr">
        <is>
          <t>Saves per reach (сохранения)</t>
        </is>
      </c>
      <c r="B14" s="258" t="inlineStr">
        <is>
          <t>0,5%</t>
        </is>
      </c>
      <c r="C14" s="194" t="inlineStr">
        <is>
          <t>1,0%</t>
        </is>
      </c>
      <c r="D14" s="195" t="inlineStr">
        <is>
          <t>1,5%+</t>
        </is>
      </c>
      <c r="E14" s="246" t="inlineStr">
        <is>
          <t>Метрика Instagram Insights «Saves»</t>
        </is>
      </c>
      <c r="F14" s="259" t="inlineStr">
        <is>
          <t>Еженедельно</t>
        </is>
      </c>
    </row>
    <row r="15" ht="21.75" customHeight="1" s="145">
      <c r="A15" s="225" t="inlineStr">
        <is>
          <t>Глубина комментариев (% тредов &gt;1 ответа)</t>
        </is>
      </c>
      <c r="B15" s="258" t="inlineStr">
        <is>
          <t>10%</t>
        </is>
      </c>
      <c r="C15" s="194" t="inlineStr">
        <is>
          <t>20%</t>
        </is>
      </c>
      <c r="D15" s="195" t="inlineStr">
        <is>
          <t>30%</t>
        </is>
      </c>
      <c r="E15" s="248" t="inlineStr">
        <is>
          <t>Ручная выборка топ-20 видео/нед.</t>
        </is>
      </c>
      <c r="F15" s="260" t="inlineStr">
        <is>
          <t>Еженедельно</t>
        </is>
      </c>
    </row>
    <row r="16" ht="19.5" customHeight="1" s="145">
      <c r="A16" s="169" t="inlineStr">
        <is>
          <t xml:space="preserve">  3 · РОСТ АККАУНТОВ</t>
        </is>
      </c>
    </row>
    <row r="17" ht="21.75" customHeight="1" s="145">
      <c r="A17" s="223" t="inlineStr">
        <is>
          <t>Суммарные подписчики, все аккаунты</t>
        </is>
      </c>
      <c r="B17" s="258" t="inlineStr">
        <is>
          <t>10 000</t>
        </is>
      </c>
      <c r="C17" s="194" t="inlineStr">
        <is>
          <t>600 000</t>
        </is>
      </c>
      <c r="D17" s="195" t="inlineStr">
        <is>
          <t>4 650 000</t>
        </is>
      </c>
      <c r="E17" s="246" t="inlineStr">
        <is>
          <t>Social Blade / Insights, сумма по 02 Accounts</t>
        </is>
      </c>
      <c r="F17" s="259" t="inlineStr">
        <is>
          <t>Еженедельно</t>
        </is>
      </c>
    </row>
    <row r="18" ht="21.75" customHeight="1" s="145">
      <c r="A18" s="225" t="inlineStr">
        <is>
          <t>Средний прирост подписчиков/аккаунт/мес</t>
        </is>
      </c>
      <c r="B18" s="258" t="inlineStr">
        <is>
          <t>—</t>
        </is>
      </c>
      <c r="C18" s="194" t="inlineStr">
        <is>
          <t>30 000</t>
        </is>
      </c>
      <c r="D18" s="195" t="inlineStr">
        <is>
          <t>50 000</t>
        </is>
      </c>
      <c r="E18" s="248" t="inlineStr">
        <is>
          <t>Δ подписчиков за период ÷ кол-во аккаунтов</t>
        </is>
      </c>
      <c r="F18" s="260" t="inlineStr">
        <is>
          <t>Еженедельно</t>
        </is>
      </c>
    </row>
    <row r="19" ht="21.75" customHeight="1" s="145">
      <c r="A19" s="223" t="inlineStr">
        <is>
          <t>Non-follower reach % (охват от не-подписчиков)</t>
        </is>
      </c>
      <c r="B19" s="258" t="inlineStr">
        <is>
          <t>40%</t>
        </is>
      </c>
      <c r="C19" s="194" t="inlineStr">
        <is>
          <t>55%</t>
        </is>
      </c>
      <c r="D19" s="195" t="inlineStr">
        <is>
          <t>65%+</t>
        </is>
      </c>
      <c r="E19" s="246" t="inlineStr">
        <is>
          <t>Instagram Insights — канареечная метрика алгоритма</t>
        </is>
      </c>
      <c r="F19" s="259" t="inlineStr">
        <is>
          <t>Ежедневно</t>
        </is>
      </c>
    </row>
    <row r="20" ht="19.5" customHeight="1" s="145">
      <c r="A20" s="169" t="inlineStr">
        <is>
          <t xml:space="preserve">  4 · УДЕРЖАНИЕ (RETENTION)</t>
        </is>
      </c>
    </row>
    <row r="21" ht="21.75" customHeight="1" s="145">
      <c r="A21" s="223" t="inlineStr">
        <is>
          <t>Среднее время просмотра, % от длины</t>
        </is>
      </c>
      <c r="B21" s="258" t="inlineStr">
        <is>
          <t>35%</t>
        </is>
      </c>
      <c r="C21" s="194" t="inlineStr">
        <is>
          <t>50%</t>
        </is>
      </c>
      <c r="D21" s="195" t="inlineStr">
        <is>
          <t>60%+</t>
        </is>
      </c>
      <c r="E21" s="246" t="inlineStr">
        <is>
          <t>Instagram Insights «Average watch time» ÷ длина ролика</t>
        </is>
      </c>
      <c r="F21" s="259" t="inlineStr">
        <is>
          <t>Еженедельно</t>
        </is>
      </c>
    </row>
    <row r="22" ht="21.75" customHeight="1" s="145">
      <c r="A22" s="225" t="inlineStr">
        <is>
          <t>Completion rate (досмотры до конца)</t>
        </is>
      </c>
      <c r="B22" s="258" t="inlineStr">
        <is>
          <t>20%</t>
        </is>
      </c>
      <c r="C22" s="194" t="inlineStr">
        <is>
          <t>35%</t>
        </is>
      </c>
      <c r="D22" s="195" t="inlineStr">
        <is>
          <t>45%+</t>
        </is>
      </c>
      <c r="E22" s="248" t="inlineStr">
        <is>
          <t>Instagram Insights «Plays at 100%»</t>
        </is>
      </c>
      <c r="F22" s="260" t="inlineStr">
        <is>
          <t>Еженедельно</t>
        </is>
      </c>
    </row>
    <row r="23" ht="21.75" customHeight="1" s="145">
      <c r="A23" s="223" t="inlineStr">
        <is>
          <t>Replay rate (повторные просмотры)</t>
        </is>
      </c>
      <c r="B23" s="258" t="inlineStr">
        <is>
          <t>5%</t>
        </is>
      </c>
      <c r="C23" s="194" t="inlineStr">
        <is>
          <t>10%</t>
        </is>
      </c>
      <c r="D23" s="195" t="inlineStr">
        <is>
          <t>15%+</t>
        </is>
      </c>
      <c r="E23" s="246" t="inlineStr">
        <is>
          <t>Instagram Insights «Replays» ÷ Reach</t>
        </is>
      </c>
      <c r="F23" s="259" t="inlineStr">
        <is>
          <t>Еженедельно</t>
        </is>
      </c>
    </row>
    <row r="24" ht="21.75" customHeight="1" s="145">
      <c r="A24" s="225" t="inlineStr">
        <is>
          <t>3-секундный drop-off</t>
        </is>
      </c>
      <c r="B24" s="258" t="inlineStr">
        <is>
          <t>55%</t>
        </is>
      </c>
      <c r="C24" s="194" t="inlineStr">
        <is>
          <t>40%</t>
        </is>
      </c>
      <c r="D24" s="195" t="inlineStr">
        <is>
          <t>&lt;30%</t>
        </is>
      </c>
      <c r="E24" s="248" t="inlineStr">
        <is>
          <t>Доля ушедших до 3-й секунды — диагностика хука</t>
        </is>
      </c>
      <c r="F24" s="260" t="inlineStr">
        <is>
          <t>Еженедельно</t>
        </is>
      </c>
    </row>
    <row r="25" ht="19.5" customHeight="1" s="145">
      <c r="A25" s="169" t="inlineStr">
        <is>
          <t xml:space="preserve">  5 · КОНВЕРСИИ</t>
        </is>
      </c>
    </row>
    <row r="26" ht="21.75" customHeight="1" s="145">
      <c r="A26" s="223" t="inlineStr">
        <is>
          <t>Переходы в профиль → подписка, %</t>
        </is>
      </c>
      <c r="B26" s="258" t="inlineStr">
        <is>
          <t>8%</t>
        </is>
      </c>
      <c r="C26" s="194" t="inlineStr">
        <is>
          <t>12%</t>
        </is>
      </c>
      <c r="D26" s="195" t="inlineStr">
        <is>
          <t>15%</t>
        </is>
      </c>
      <c r="E26" s="246" t="inlineStr">
        <is>
          <t>Profile visits → Follows, Instagram Insights</t>
        </is>
      </c>
      <c r="F26" s="259" t="inlineStr">
        <is>
          <t>Еженедельно</t>
        </is>
      </c>
    </row>
    <row r="27" ht="21.75" customHeight="1" s="145">
      <c r="A27" s="225" t="inlineStr">
        <is>
          <t>Переходы на сайт/лендинг/мес</t>
        </is>
      </c>
      <c r="B27" s="258" t="inlineStr">
        <is>
          <t>500</t>
        </is>
      </c>
      <c r="C27" s="194" t="inlineStr">
        <is>
          <t>10 000</t>
        </is>
      </c>
      <c r="D27" s="195" t="inlineStr">
        <is>
          <t>50 000</t>
        </is>
      </c>
      <c r="E27" s="248" t="inlineStr">
        <is>
          <t>UTM-метки + Google Analytics</t>
        </is>
      </c>
      <c r="F27" s="260" t="inlineStr">
        <is>
          <t>Еженедельно</t>
        </is>
      </c>
    </row>
    <row r="28" ht="21.75" customHeight="1" s="145">
      <c r="A28" s="223" t="inlineStr">
        <is>
          <t>Лиды (заявки)/месяц</t>
        </is>
      </c>
      <c r="B28" s="258" t="inlineStr">
        <is>
          <t>50</t>
        </is>
      </c>
      <c r="C28" s="194" t="inlineStr">
        <is>
          <t>700</t>
        </is>
      </c>
      <c r="D28" s="195" t="inlineStr">
        <is>
          <t>3 000</t>
        </is>
      </c>
      <c r="E28" s="246" t="inlineStr">
        <is>
          <t>CRM продукта</t>
        </is>
      </c>
      <c r="F28" s="259" t="inlineStr">
        <is>
          <t>Ежемесячно</t>
        </is>
      </c>
    </row>
    <row r="29" ht="21.75" customHeight="1" s="145">
      <c r="A29" s="225" t="inlineStr">
        <is>
          <t>CPL — стоимость лида</t>
        </is>
      </c>
      <c r="B29" s="258" t="inlineStr">
        <is>
          <t>$400</t>
        </is>
      </c>
      <c r="C29" s="194" t="inlineStr">
        <is>
          <t>$28</t>
        </is>
      </c>
      <c r="D29" s="195" t="inlineStr">
        <is>
          <t>$7</t>
        </is>
      </c>
      <c r="E29" s="248" t="inlineStr">
        <is>
          <t>Бюджет исполнения ÷ лиды (см. 07 AI Stack)</t>
        </is>
      </c>
      <c r="F29" s="260" t="inlineStr">
        <is>
          <t>Ежемесячно</t>
        </is>
      </c>
    </row>
  </sheetData>
  <mergeCells count="9">
    <mergeCell ref="A16:F16"/>
    <mergeCell ref="A2:F2"/>
    <mergeCell ref="A11:F11"/>
    <mergeCell ref="A1:F1"/>
    <mergeCell ref="A5:F5"/>
    <mergeCell ref="A3:F3"/>
    <mergeCell ref="A20:F20"/>
    <mergeCell ref="A7:F7"/>
    <mergeCell ref="A25:F25"/>
  </mergeCells>
  <printOptions horizontalCentered="0" verticalCentered="0" headings="0" gridLines="0" gridLinesSet="1"/>
  <pageMargins left="0.3" right="0.3" top="0.4" bottom="0.4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0E7C7B"/>
    <outlinePr summaryBelow="1" summaryRight="1"/>
    <pageSetUpPr fitToPage="1"/>
  </sheetPr>
  <dimension ref="A1:G10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144" min="1" max="1"/>
    <col width="16" customWidth="1" style="144" min="2" max="2"/>
    <col width="34" customWidth="1" style="144" min="3" max="3"/>
    <col width="16" customWidth="1" style="144" min="4" max="4"/>
    <col width="38" customWidth="1" style="144" min="5" max="5"/>
    <col width="32" customWidth="1" style="144" min="6" max="6"/>
    <col width="28" customWidth="1" style="144" min="7" max="7"/>
  </cols>
  <sheetData>
    <row r="1" ht="19.5" customHeight="1" s="145">
      <c r="A1" s="213" t="inlineStr">
        <is>
          <t>LAYER 3 · CONTENT ENGINE — DELIVERABLE</t>
        </is>
      </c>
    </row>
    <row r="2" ht="36" customHeight="1" s="145">
      <c r="A2" s="147" t="inlineStr">
        <is>
          <t>📚  SHORT-FORM CONTENT BANK — 100 СЦЕНАРИЕВ</t>
        </is>
      </c>
    </row>
    <row r="3" ht="30" customHeight="1" s="145">
      <c r="A3" s="148" t="inlineStr">
        <is>
          <t>Ниша: AI / продуктивность / цифровые инструменты. Каждый сценарий закодирован одним из 6 принципов из 03 Psychology — это не случайные идеи, а выход модели.</t>
        </is>
      </c>
    </row>
    <row r="4" ht="7.5" customHeight="1" s="145"/>
    <row r="5" ht="18" customHeight="1" s="145">
      <c r="A5" s="202" t="inlineStr">
        <is>
          <t>Легенда принципов:  ■ Mere Exposure  ■ Curiosity Trap  ■ Identity Selling  ■ Authority  ■ Social Sharing  ■ Storytelling</t>
        </is>
      </c>
    </row>
    <row r="6" ht="21.75" customHeight="1" s="145">
      <c r="A6" s="214" t="inlineStr">
        <is>
          <t xml:space="preserve">  100 СЦЕНАРИЕВ</t>
        </is>
      </c>
    </row>
    <row r="7" ht="25.5" customHeight="1" s="145">
      <c r="A7" s="156" t="inlineStr">
        <is>
          <t>#</t>
        </is>
      </c>
      <c r="B7" s="156" t="inlineStr">
        <is>
          <t>Тип контента</t>
        </is>
      </c>
      <c r="C7" s="156" t="inlineStr">
        <is>
          <t>Hook (0–2 сек)</t>
        </is>
      </c>
      <c r="D7" s="156" t="inlineStr">
        <is>
          <t>Принцип</t>
        </is>
      </c>
      <c r="E7" s="156" t="inlineStr">
        <is>
          <t>Структура H→P→S→R</t>
        </is>
      </c>
      <c r="F7" s="156" t="inlineStr">
        <is>
          <t>Почему завирусится</t>
        </is>
      </c>
      <c r="G7" s="156" t="inlineStr">
        <is>
          <t>Ожидаемое поведение зрителя</t>
        </is>
      </c>
    </row>
    <row r="8" ht="57.75" customHeight="1" s="145">
      <c r="A8" s="261" t="n">
        <v>1</v>
      </c>
      <c r="B8" s="262" t="inlineStr">
        <is>
          <t>AI-новости</t>
        </is>
      </c>
      <c r="C8" s="263" t="inlineStr">
        <is>
          <t>Рубрика «AI за 60 секунд», выпуск #24 — сегодня разбираем Gemini</t>
        </is>
      </c>
      <c r="D8" s="264" t="inlineStr">
        <is>
          <t>Mere Exposure</t>
        </is>
      </c>
      <c r="E8" s="265" t="inlineStr">
        <is>
          <t>Та же заставка/музыка/ведущий, что и в прошлых 23 выпусках → 1 новость → итог одной фразой</t>
        </is>
      </c>
      <c r="F8" s="265" t="inlineStr">
        <is>
          <t>Не вирусится сама по себе, но удерживает постоянную аудиторию, которая досматривает на автомате узнавания</t>
        </is>
      </c>
      <c r="G8" s="266" t="inlineStr">
        <is>
          <t>Высокий repeat-view, комментарии-предсказания «сегодня точно про OpenAI»</t>
        </is>
      </c>
    </row>
    <row r="9" ht="57.75" customHeight="1" s="145">
      <c r="A9" s="267" t="n">
        <v>2</v>
      </c>
      <c r="B9" s="268" t="inlineStr">
        <is>
          <t>Туториал</t>
        </is>
      </c>
      <c r="C9" s="269" t="inlineStr">
        <is>
          <t>Понедельничный AI-лайфхак: сегодня — Notion AI</t>
        </is>
      </c>
      <c r="D9" s="264" t="inlineStr">
        <is>
          <t>Mere Exposure</t>
        </is>
      </c>
      <c r="E9" s="270" t="inlineStr">
        <is>
          <t>Фирменный текстовый баннер «понедельничный лайфхак» открывает каждый ролик серии → 1 приём за 20 сек → призыв сохранить</t>
        </is>
      </c>
      <c r="F9" s="270" t="inlineStr">
        <is>
          <t>Снижает % отписок за счёт предсказуемого ритма публикаций</t>
        </is>
      </c>
      <c r="G9" s="271" t="inlineStr">
        <is>
          <t>Стабильные сейвы по понедельникам, рост узнаваемости профиля в ленте</t>
        </is>
      </c>
    </row>
    <row r="10" ht="57.75" customHeight="1" s="145">
      <c r="A10" s="261" t="n">
        <v>3</v>
      </c>
      <c r="B10" s="262" t="inlineStr">
        <is>
          <t>Сравнение</t>
        </is>
      </c>
      <c r="C10" s="263" t="inlineStr">
        <is>
          <t>Битва инструментов, раунд 9: Claude vs ChatGPT</t>
        </is>
      </c>
      <c r="D10" s="264" t="inlineStr">
        <is>
          <t>Mere Exposure</t>
        </is>
      </c>
      <c r="E10" s="265" t="inlineStr">
        <is>
          <t>Узнаваемый «счётный» оверлей раунда → задача → результат → счёт обновляется в кадре</t>
        </is>
      </c>
      <c r="F10" s="265" t="inlineStr">
        <is>
          <t>Серийный формат вызывает ожидание следующего раунда, комментарии-ставки</t>
        </is>
      </c>
      <c r="G10" s="266" t="inlineStr">
        <is>
          <t>Комментарии-прогнозы, возврат зрителей к следующему эпизоду</t>
        </is>
      </c>
    </row>
    <row r="11" ht="57.75" customHeight="1" s="145">
      <c r="A11" s="267" t="n">
        <v>4</v>
      </c>
      <c r="B11" s="268" t="inlineStr">
        <is>
          <t>Шоукейс</t>
        </is>
      </c>
      <c r="C11" s="269" t="inlineStr">
        <is>
          <t>Пятничный AI-арт: Midjourney рисует то, что попросили в комментариях</t>
        </is>
      </c>
      <c r="D11" s="264" t="inlineStr">
        <is>
          <t>Mere Exposure</t>
        </is>
      </c>
      <c r="E11" s="270" t="inlineStr">
        <is>
          <t>Тот же интро-джингл «пятничный AI-арт» → промпт из комментариев → результат крупным планом</t>
        </is>
      </c>
      <c r="F11" s="270" t="inlineStr">
        <is>
          <t>Зрители возвращаются ради своей идеи в следующем выпуске</t>
        </is>
      </c>
      <c r="G11" s="271" t="inlineStr">
        <is>
          <t>Высокая вовлечённость в комментарии-заявки, стабильный охват по подписчикам</t>
        </is>
      </c>
    </row>
    <row r="12" ht="57.75" customHeight="1" s="145">
      <c r="A12" s="261" t="n">
        <v>5</v>
      </c>
      <c r="B12" s="262" t="inlineStr">
        <is>
          <t>Продуктивность</t>
        </is>
      </c>
      <c r="C12" s="263" t="inlineStr">
        <is>
          <t>Чек-лист понедельника: 3 AI-инструмента на неделю</t>
        </is>
      </c>
      <c r="D12" s="264" t="inlineStr">
        <is>
          <t>Mere Exposure</t>
        </is>
      </c>
      <c r="E12" s="265" t="inlineStr">
        <is>
          <t>Фирменная палитра и шрифт чек-листа повторяются каждую неделю → 3 пункта → итоговая карточка</t>
        </is>
      </c>
      <c r="F12" s="265" t="inlineStr">
        <is>
          <t>Узнаваемая карточка располагает к сохранению как «еженедельный дайджест»</t>
        </is>
      </c>
      <c r="G12" s="266" t="inlineStr">
        <is>
          <t>Сохранения выше среднего, комментарии с собственными списками</t>
        </is>
      </c>
    </row>
    <row r="13" ht="57.75" customHeight="1" s="145">
      <c r="A13" s="267" t="n">
        <v>6</v>
      </c>
      <c r="B13" s="268" t="inlineStr">
        <is>
          <t>AI-новости</t>
        </is>
      </c>
      <c r="C13" s="269" t="inlineStr">
        <is>
          <t>Голос за кадром тот же, что и всегда — у Gemini обновили память</t>
        </is>
      </c>
      <c r="D13" s="264" t="inlineStr">
        <is>
          <t>Mere Exposure</t>
        </is>
      </c>
      <c r="E13" s="270" t="inlineStr">
        <is>
          <t>Постоянный голос и темп озвучки на каждом видео → факт → вывод</t>
        </is>
      </c>
      <c r="F13" s="270" t="inlineStr">
        <is>
          <t>Узнаваемый голос ассоциируется с надёжным источником, а не разовой сенсацией</t>
        </is>
      </c>
      <c r="G13" s="271" t="inlineStr">
        <is>
          <t>Снижение оттока подписчиков, стабильный CTR в Stories</t>
        </is>
      </c>
    </row>
    <row r="14" ht="57.75" customHeight="1" s="145">
      <c r="A14" s="261" t="n">
        <v>7</v>
      </c>
      <c r="B14" s="262" t="inlineStr">
        <is>
          <t>Туториал</t>
        </is>
      </c>
      <c r="C14" s="263" t="inlineStr">
        <is>
          <t>Серия «1 минута — 1 функция»: сегодня Gamma</t>
        </is>
      </c>
      <c r="D14" s="264" t="inlineStr">
        <is>
          <t>Mere Exposure</t>
        </is>
      </c>
      <c r="E14" s="265" t="inlineStr">
        <is>
          <t>Единый формат таймера 60 секунд в углу экрана на каждом видео серии → демонстрация → таймер на нуле</t>
        </is>
      </c>
      <c r="F14" s="265" t="inlineStr">
        <is>
          <t>Таймер создаёт лёгкий саспенс, формат держит привычкой, не открытием</t>
        </is>
      </c>
      <c r="G14" s="266" t="inlineStr">
        <is>
          <t>Высокая частота повторных просмотров — зрители пересматривают, чтобы успеть повторить</t>
        </is>
      </c>
    </row>
    <row r="15" ht="57.75" customHeight="1" s="145">
      <c r="A15" s="267" t="n">
        <v>8</v>
      </c>
      <c r="B15" s="268" t="inlineStr">
        <is>
          <t>Сравнение</t>
        </is>
      </c>
      <c r="C15" s="269" t="inlineStr">
        <is>
          <t>Таблица недели: 5 AI-инструментов для почты</t>
        </is>
      </c>
      <c r="D15" s="264" t="inlineStr">
        <is>
          <t>Mere Exposure</t>
        </is>
      </c>
      <c r="E15" s="270" t="inlineStr">
        <is>
          <t>Одна и та же сетка-таблица как визуальный шаблон рубрики → заполнение по ходу видео → финальная сводная таблица</t>
        </is>
      </c>
      <c r="F15" s="270" t="inlineStr">
        <is>
          <t>Таблица шерится как референс, узнаваемость формата облегчает решение «смотреть/нет»</t>
        </is>
      </c>
      <c r="G15" s="271" t="inlineStr">
        <is>
          <t>Высокие сейвы, репосты как «шпаргалка»</t>
        </is>
      </c>
    </row>
    <row r="16" ht="57.75" customHeight="1" s="145">
      <c r="A16" s="261" t="n">
        <v>9</v>
      </c>
      <c r="B16" s="262" t="inlineStr">
        <is>
          <t>Юмор</t>
        </is>
      </c>
      <c r="C16" s="263" t="inlineStr">
        <is>
          <t>Рубрика «AI облажался» #11</t>
        </is>
      </c>
      <c r="D16" s="264" t="inlineStr">
        <is>
          <t>Mere Exposure</t>
        </is>
      </c>
      <c r="E16" s="265" t="inlineStr">
        <is>
          <t>Узнаваемый звуковой сигнал ошибки в начале каждого выпуска → провал AI → реакция в кадре</t>
        </is>
      </c>
      <c r="F16" s="265" t="inlineStr">
        <is>
          <t>Узнаваемый звук создаёт условный рефлекс «сейчас будет смешно»</t>
        </is>
      </c>
      <c r="G16" s="266" t="inlineStr">
        <is>
          <t>Высокий watch-through благодаря привычному ритму юмора</t>
        </is>
      </c>
    </row>
    <row r="17" ht="57.75" customHeight="1" s="145">
      <c r="A17" s="267" t="n">
        <v>10</v>
      </c>
      <c r="B17" s="268" t="inlineStr">
        <is>
          <t>Промо</t>
        </is>
      </c>
      <c r="C17" s="269" t="inlineStr">
        <is>
          <t>История клиента №7: как [продукт] сэкономил время</t>
        </is>
      </c>
      <c r="D17" s="264" t="inlineStr">
        <is>
          <t>Mere Exposure</t>
        </is>
      </c>
      <c r="E17" s="270" t="inlineStr">
        <is>
          <t>Тот же шаблон «До / После» с таймером экономии часов в каждом промо-видео</t>
        </is>
      </c>
      <c r="F17" s="270" t="inlineStr">
        <is>
          <t>Узнаваемый формат повышает доверие к новому кейсу за счёт прошлых выпусков</t>
        </is>
      </c>
      <c r="G17" s="271" t="inlineStr">
        <is>
          <t>Стабильная конверсия в переходы на сайт</t>
        </is>
      </c>
    </row>
    <row r="18" ht="57.75" customHeight="1" s="145">
      <c r="A18" s="261" t="n">
        <v>11</v>
      </c>
      <c r="B18" s="262" t="inlineStr">
        <is>
          <t>AI для бизнеса</t>
        </is>
      </c>
      <c r="C18" s="263" t="inlineStr">
        <is>
          <t>Кейс недели: ROI от AI в реальной компании</t>
        </is>
      </c>
      <c r="D18" s="264" t="inlineStr">
        <is>
          <t>Mere Exposure</t>
        </is>
      </c>
      <c r="E18" s="265" t="inlineStr">
        <is>
          <t>Фирменная инфографика ROI в одном стиле каждую неделю → цифры → итог</t>
        </is>
      </c>
      <c r="F18" s="265" t="inlineStr">
        <is>
          <t>Сериальность повышает доверие B2B-аудитории к формату отчётности</t>
        </is>
      </c>
      <c r="G18" s="266" t="inlineStr">
        <is>
          <t>Сохранения как референс для презентаций</t>
        </is>
      </c>
    </row>
    <row r="19" ht="57.75" customHeight="1" s="145">
      <c r="A19" s="267" t="n">
        <v>12</v>
      </c>
      <c r="B19" s="268" t="inlineStr">
        <is>
          <t>Туториал</t>
        </is>
      </c>
      <c r="C19" s="269" t="inlineStr">
        <is>
          <t>Урок #32 из бесплатного AI-курса в этом профиле</t>
        </is>
      </c>
      <c r="D19" s="264" t="inlineStr">
        <is>
          <t>Mere Exposure</t>
        </is>
      </c>
      <c r="E19" s="270" t="inlineStr">
        <is>
          <t>Нумерация уроков с одинаковым шаблоном слайда «Урок №» → объяснение → задание в подписи</t>
        </is>
      </c>
      <c r="F19" s="270" t="inlineStr">
        <is>
          <t>Эффект учебного сериала удерживает на канале, а не делится вовне</t>
        </is>
      </c>
      <c r="G19" s="271" t="inlineStr">
        <is>
          <t>Высокая частота возвратов, рост сохранённых сборников</t>
        </is>
      </c>
    </row>
    <row r="20" ht="57.75" customHeight="1" s="145">
      <c r="A20" s="261" t="n">
        <v>13</v>
      </c>
      <c r="B20" s="262" t="inlineStr">
        <is>
          <t>AI-новости</t>
        </is>
      </c>
      <c r="C20" s="263" t="inlineStr">
        <is>
          <t>Сводка за неделю: 3 релиза, которые вы пропустили</t>
        </is>
      </c>
      <c r="D20" s="264" t="inlineStr">
        <is>
          <t>Mere Exposure</t>
        </is>
      </c>
      <c r="E20" s="265" t="inlineStr">
        <is>
          <t>Один и тот же формат «3 новости подряд» с разделителями-таймкодами</t>
        </is>
      </c>
      <c r="F20" s="265" t="inlineStr">
        <is>
          <t>Предсказуемая структура снижает порог досмотра до конца</t>
        </is>
      </c>
      <c r="G20" s="266" t="inlineStr">
        <is>
          <t>Высокий completion rate за счёт привычного темпа</t>
        </is>
      </c>
    </row>
    <row r="21" ht="57.75" customHeight="1" s="145">
      <c r="A21" s="267" t="n">
        <v>14</v>
      </c>
      <c r="B21" s="268" t="inlineStr">
        <is>
          <t>Продуктивность</t>
        </is>
      </c>
      <c r="C21" s="269" t="inlineStr">
        <is>
          <t>Утренний ритуал с AI: серия продолжается</t>
        </is>
      </c>
      <c r="D21" s="264" t="inlineStr">
        <is>
          <t>Mere Exposure</t>
        </is>
      </c>
      <c r="E21" s="270" t="inlineStr">
        <is>
          <t>Один и тот же визуальный сеттинг рабочего стола в каждом видео серии</t>
        </is>
      </c>
      <c r="F21" s="270" t="inlineStr">
        <is>
          <t>Узнаваемая «утренняя атмосфера» формирует привычку смотреть в одно время</t>
        </is>
      </c>
      <c r="G21" s="271" t="inlineStr">
        <is>
          <t>Рост просмотров в определённый час дня, паттерн постоянной аудитории</t>
        </is>
      </c>
    </row>
    <row r="22" ht="57.75" customHeight="1" s="145">
      <c r="A22" s="261" t="n">
        <v>15</v>
      </c>
      <c r="B22" s="262" t="inlineStr">
        <is>
          <t>Сравнение</t>
        </is>
      </c>
      <c r="C22" s="263" t="inlineStr">
        <is>
          <t>Голосование недели: какой AI-инструмент тестируем дальше</t>
        </is>
      </c>
      <c r="D22" s="264" t="inlineStr">
        <is>
          <t>Mere Exposure</t>
        </is>
      </c>
      <c r="E22" s="265" t="inlineStr">
        <is>
          <t>Фирменный опрос в Stories перед роликом → ролик по итогам со знакомой подачей</t>
        </is>
      </c>
      <c r="F22" s="265" t="inlineStr">
        <is>
          <t>Чувство соучастия аудитории в формате повышает лояльность и регулярный просмотр</t>
        </is>
      </c>
      <c r="G22" s="266" t="inlineStr">
        <is>
          <t>Высокая активность в Stories, переход в комментарии под видео</t>
        </is>
      </c>
    </row>
    <row r="23" ht="57.75" customHeight="1" s="145">
      <c r="A23" s="267" t="n">
        <v>16</v>
      </c>
      <c r="B23" s="268" t="inlineStr">
        <is>
          <t>Шоукейс</t>
        </is>
      </c>
      <c r="C23" s="269" t="inlineStr">
        <is>
          <t>AI-аватар снова здесь — досматривай до сюрприза</t>
        </is>
      </c>
      <c r="D23" s="264" t="inlineStr">
        <is>
          <t>Mere Exposure</t>
        </is>
      </c>
      <c r="E23" s="270" t="inlineStr">
        <is>
          <t>Один и тот же HeyGen-аватар ведёт уже n-й выпуск рубрики → демонстрация → фирменный финальный жест</t>
        </is>
      </c>
      <c r="F23" s="270" t="inlineStr">
        <is>
          <t>Персонаж-ведущий формирует парасоциальную привязанность, типичную для серийного контента</t>
        </is>
      </c>
      <c r="G23" s="271" t="inlineStr">
        <is>
          <t>Стабильный рост подписки именно на личность аватара, а не на разовый ролик</t>
        </is>
      </c>
    </row>
    <row r="24" ht="57.75" customHeight="1" s="145">
      <c r="A24" s="261" t="n">
        <v>17</v>
      </c>
      <c r="B24" s="262" t="inlineStr">
        <is>
          <t>Туториал</t>
        </is>
      </c>
      <c r="C24" s="263" t="inlineStr">
        <is>
          <t>Есть настройка ChatGPT, которую не включают 99% — досмотри до конца</t>
        </is>
      </c>
      <c r="D24" s="272" t="inlineStr">
        <is>
          <t>Curiosity Trap</t>
        </is>
      </c>
      <c r="E24" s="265" t="inlineStr">
        <is>
          <t>Hook не называет настройку → Problem: долгие неточные ответы → Story: ищем скрытый пункт меню → Resolution: настройка раскрывается на 27-й секунде</t>
        </is>
      </c>
      <c r="F24" s="265" t="inlineStr">
        <is>
          <t>Прямой open loop держит до конца, что повышает вес ролика по watch time</t>
        </is>
      </c>
      <c r="G24" s="266" t="inlineStr">
        <is>
          <t>Очень высокий completion rate, мало ранних уходов</t>
        </is>
      </c>
    </row>
    <row r="25" ht="57.75" customHeight="1" s="145">
      <c r="A25" s="267" t="n">
        <v>18</v>
      </c>
      <c r="B25" s="268" t="inlineStr">
        <is>
          <t>Сравнение</t>
        </is>
      </c>
      <c r="C25" s="269" t="inlineStr">
        <is>
          <t>Один из этих AI-инструментов тайно собирает больше данных, чем вы думаете</t>
        </is>
      </c>
      <c r="D25" s="272" t="inlineStr">
        <is>
          <t>Curiosity Trap</t>
        </is>
      </c>
      <c r="E25" s="270" t="inlineStr">
        <is>
          <t>Не называем какой → сравниваем интерфейсы → раскрываем разницу в политике данных в payoff</t>
        </is>
      </c>
      <c r="F25" s="270" t="inlineStr">
        <is>
          <t>Тревожный open loop про приватность вызывает желание узнать, какой именно</t>
        </is>
      </c>
      <c r="G25" s="271" t="inlineStr">
        <is>
          <t>Высокие комментарии «который из них?», споры в обсуждении</t>
        </is>
      </c>
    </row>
    <row r="26" ht="57.75" customHeight="1" s="145">
      <c r="A26" s="261" t="n">
        <v>19</v>
      </c>
      <c r="B26" s="262" t="inlineStr">
        <is>
          <t>Новость</t>
        </is>
      </c>
      <c r="C26" s="263" t="inlineStr">
        <is>
          <t>OpenAI выпустила фичу, но включили её не всем — проверь, есть ли она у тебя</t>
        </is>
      </c>
      <c r="D26" s="272" t="inlineStr">
        <is>
          <t>Curiosity Trap</t>
        </is>
      </c>
      <c r="E26" s="265" t="inlineStr">
        <is>
          <t>Не раскрываем фичу сразу → контекст релиза → как проверить наличие → демонстрация</t>
        </is>
      </c>
      <c r="F26" s="265" t="inlineStr">
        <is>
          <t>Личная неопределённость «есть ли это у меня» удерживает каждого зрителя индивидуально</t>
        </is>
      </c>
      <c r="G26" s="266" t="inlineStr">
        <is>
          <t>Высокие сейвы «чтобы потом проверить», переходы в настройки сразу после просмотра</t>
        </is>
      </c>
    </row>
    <row r="27" ht="57.75" customHeight="1" s="145">
      <c r="A27" s="267" t="n">
        <v>20</v>
      </c>
      <c r="B27" s="268" t="inlineStr">
        <is>
          <t>Шоукейс</t>
        </is>
      </c>
      <c r="C27" s="269" t="inlineStr">
        <is>
          <t>Это не Photoshop — и не Midjourney тоже</t>
        </is>
      </c>
      <c r="D27" s="272" t="inlineStr">
        <is>
          <t>Curiosity Trap</t>
        </is>
      </c>
      <c r="E27" s="270" t="inlineStr">
        <is>
          <t>Показываем результат без подписи инструмента → демонстрация процесса → раскрытие имени на 25-й секунде</t>
        </is>
      </c>
      <c r="F27" s="270" t="inlineStr">
        <is>
          <t>Загадка «что это» провоцирует комментарии-догадки до раскрытия ответа</t>
        </is>
      </c>
      <c r="G27" s="271" t="inlineStr">
        <is>
          <t>Высокая комментарийная активность с вариантами ответа</t>
        </is>
      </c>
    </row>
    <row r="28" ht="57.75" customHeight="1" s="145">
      <c r="A28" s="261" t="n">
        <v>21</v>
      </c>
      <c r="B28" s="262" t="inlineStr">
        <is>
          <t>Продуктивность</t>
        </is>
      </c>
      <c r="C28" s="263" t="inlineStr">
        <is>
          <t>Один промпт убирает половину твоей работы в Excel — но он не для всех версий</t>
        </is>
      </c>
      <c r="D28" s="272" t="inlineStr">
        <is>
          <t>Curiosity Trap</t>
        </is>
      </c>
      <c r="E28" s="265" t="inlineStr">
        <is>
          <t>Условие «не для всех» создаёт разрыв → демонстрация промпта → уточнение совместимости в конце</t>
        </is>
      </c>
      <c r="F28" s="265" t="inlineStr">
        <is>
          <t>Условность интригует и заставляет смотреть, чтобы понять «подхожу ли я»</t>
        </is>
      </c>
      <c r="G28" s="266" t="inlineStr">
        <is>
          <t>Высокая досматриваемость, комментарии с вопросами о версии</t>
        </is>
      </c>
    </row>
    <row r="29" ht="57.75" customHeight="1" s="145">
      <c r="A29" s="267" t="n">
        <v>22</v>
      </c>
      <c r="B29" s="268" t="inlineStr">
        <is>
          <t>Юмор</t>
        </is>
      </c>
      <c r="C29" s="269" t="inlineStr">
        <is>
          <t>ИИ почти угадал, но в последний момент всё испортил</t>
        </is>
      </c>
      <c r="D29" s="272" t="inlineStr">
        <is>
          <t>Curiosity Trap</t>
        </is>
      </c>
      <c r="E29" s="270" t="inlineStr">
        <is>
          <t>Показываем процесс генерации без финального кадра → нарастающее ожидание → провал в payoff</t>
        </is>
      </c>
      <c r="F29" s="270" t="inlineStr">
        <is>
          <t>Комедийный саспенс вокруг «угадает или нет» держит внимание до конца</t>
        </is>
      </c>
      <c r="G29" s="271" t="inlineStr">
        <is>
          <t>Высокий completion, частые повторные просмотры момента провала</t>
        </is>
      </c>
    </row>
    <row r="30" ht="57.75" customHeight="1" s="145">
      <c r="A30" s="261" t="n">
        <v>23</v>
      </c>
      <c r="B30" s="262" t="inlineStr">
        <is>
          <t>Туториал</t>
        </is>
      </c>
      <c r="C30" s="263" t="inlineStr">
        <is>
          <t>Этот промпт работает только если написать его именно так</t>
        </is>
      </c>
      <c r="D30" s="272" t="inlineStr">
        <is>
          <t>Curiosity Trap</t>
        </is>
      </c>
      <c r="E30" s="265" t="inlineStr">
        <is>
          <t>Подчёркиваем точность формулировки как условие → ошибочный и верный вариант → точный текст в payoff</t>
        </is>
      </c>
      <c r="F30" s="265" t="inlineStr">
        <is>
          <t>Требование точности создаёт необходимость пересмотра и сохранения</t>
        </is>
      </c>
      <c r="G30" s="266" t="inlineStr">
        <is>
          <t>Высокие сейвы, повторные просмотры для копирования точного текста</t>
        </is>
      </c>
    </row>
    <row r="31" ht="57.75" customHeight="1" s="145">
      <c r="A31" s="267" t="n">
        <v>24</v>
      </c>
      <c r="B31" s="268" t="inlineStr">
        <is>
          <t>Сравнение</t>
        </is>
      </c>
      <c r="C31" s="269" t="inlineStr">
        <is>
          <t>Спросили один и тот же вопрос у трёх AI — один ответ был неожиданно честным</t>
        </is>
      </c>
      <c r="D31" s="272" t="inlineStr">
        <is>
          <t>Curiosity Trap</t>
        </is>
      </c>
      <c r="E31" s="270" t="inlineStr">
        <is>
          <t>Не говорим какой → задаём вопрос трём моделям → раскрываем «честный» ответ в конце</t>
        </is>
      </c>
      <c r="F31" s="270" t="inlineStr">
        <is>
          <t>Любопытство «кто оказался честным» удерживает до payoff</t>
        </is>
      </c>
      <c r="G31" s="271" t="inlineStr">
        <is>
          <t>Высокие комментарии с обсуждением, кто угадал правильно</t>
        </is>
      </c>
    </row>
    <row r="32" ht="57.75" customHeight="1" s="145">
      <c r="A32" s="261" t="n">
        <v>25</v>
      </c>
      <c r="B32" s="262" t="inlineStr">
        <is>
          <t>Новость</t>
        </is>
      </c>
      <c r="C32" s="263" t="inlineStr">
        <is>
          <t>В обновлении есть строчка, которую почти никто не заметил</t>
        </is>
      </c>
      <c r="D32" s="272" t="inlineStr">
        <is>
          <t>Curiosity Trap</t>
        </is>
      </c>
      <c r="E32" s="265" t="inlineStr">
        <is>
          <t>Контекст релиза → перечисление заметных фич → раскрытие незаметной строчки как главного твиста</t>
        </is>
      </c>
      <c r="F32" s="265" t="inlineStr">
        <is>
          <t>Эффект «скрытой детали» провоцирует пересмотр официального анонса другими зрителями</t>
        </is>
      </c>
      <c r="G32" s="266" t="inlineStr">
        <is>
          <t>Высокий completion rate, комментарии «а я и не заметил»</t>
        </is>
      </c>
    </row>
    <row r="33" ht="57.75" customHeight="1" s="145">
      <c r="A33" s="267" t="n">
        <v>26</v>
      </c>
      <c r="B33" s="268" t="inlineStr">
        <is>
          <t>Шоукейс</t>
        </is>
      </c>
      <c r="C33" s="269" t="inlineStr">
        <is>
          <t>Я попросил AI закончить мою мысль — ответ удивил даже меня</t>
        </is>
      </c>
      <c r="D33" s="272" t="inlineStr">
        <is>
          <t>Curiosity Trap</t>
        </is>
      </c>
      <c r="E33" s="270" t="inlineStr">
        <is>
          <t>Демонстрируем начало запроса → пауза перед ответом → реакция в кадре как часть payoff</t>
        </is>
      </c>
      <c r="F33" s="270" t="inlineStr">
        <is>
          <t>Личная реакция автора усиливает эффект ожидания для зрителя</t>
        </is>
      </c>
      <c r="G33" s="271" t="inlineStr">
        <is>
          <t>Высокая досматриваемость ради финальной реакции</t>
        </is>
      </c>
    </row>
    <row r="34" ht="57.75" customHeight="1" s="145">
      <c r="A34" s="261" t="n">
        <v>27</v>
      </c>
      <c r="B34" s="262" t="inlineStr">
        <is>
          <t>Продуктивность</t>
        </is>
      </c>
      <c r="C34" s="263" t="inlineStr">
        <is>
          <t>Если твой календарь выглядит так — тебе не хватает одной настройки</t>
        </is>
      </c>
      <c r="D34" s="272" t="inlineStr">
        <is>
          <t>Curiosity Trap</t>
        </is>
      </c>
      <c r="E34" s="265" t="inlineStr">
        <is>
          <t>Показываем хаотичный календарь → намекаем на решение → раскрываем настройку в конце</t>
        </is>
      </c>
      <c r="F34" s="265" t="inlineStr">
        <is>
          <t>Самоидентификация по картинке календаря держит внимание тех, кто узнал себя</t>
        </is>
      </c>
      <c r="G34" s="266" t="inlineStr">
        <is>
          <t>Высокие сейвы как «инструкция на потом»</t>
        </is>
      </c>
    </row>
    <row r="35" ht="57.75" customHeight="1" s="145">
      <c r="A35" s="267" t="n">
        <v>28</v>
      </c>
      <c r="B35" s="268" t="inlineStr">
        <is>
          <t>AI для бизнеса</t>
        </is>
      </c>
      <c r="C35" s="269" t="inlineStr">
        <is>
          <t>Цифра в этом кейсе вас удивит — ROI не там, где ожидаешь</t>
        </is>
      </c>
      <c r="D35" s="272" t="inlineStr">
        <is>
          <t>Curiosity Trap</t>
        </is>
      </c>
      <c r="E35" s="270" t="inlineStr">
        <is>
          <t>Задаём контекст кейса → нарастание цифр → неожиданный итоговый показатель</t>
        </is>
      </c>
      <c r="F35" s="270" t="inlineStr">
        <is>
          <t>Контринтуитивный результат заставляет досмотреть, чтобы узнать конкретное число</t>
        </is>
      </c>
      <c r="G35" s="271" t="inlineStr">
        <is>
          <t>Высокий completion, сохранения для презентаций</t>
        </is>
      </c>
    </row>
    <row r="36" ht="57.75" customHeight="1" s="145">
      <c r="A36" s="261" t="n">
        <v>29</v>
      </c>
      <c r="B36" s="262" t="inlineStr">
        <is>
          <t>Туториал</t>
        </is>
      </c>
      <c r="C36" s="263" t="inlineStr">
        <is>
          <t>В Notion AI есть функция, спрятанная в трёх кликах от всех остальных</t>
        </is>
      </c>
      <c r="D36" s="272" t="inlineStr">
        <is>
          <t>Curiosity Trap</t>
        </is>
      </c>
      <c r="E36" s="265" t="inlineStr">
        <is>
          <t>Подчёркиваем «спрятанность» → путь из трёх кликов в реальном времени → демонстрация функции</t>
        </is>
      </c>
      <c r="F36" s="265" t="inlineStr">
        <is>
          <t>Зрители досматривают, чтобы получить точный путь, не запоминая на слух</t>
        </is>
      </c>
      <c r="G36" s="266" t="inlineStr">
        <is>
          <t>Высокая досматриваемость, репост теми, кто уже использует инструмент</t>
        </is>
      </c>
    </row>
    <row r="37" ht="57.75" customHeight="1" s="145">
      <c r="A37" s="267" t="n">
        <v>30</v>
      </c>
      <c r="B37" s="268" t="inlineStr">
        <is>
          <t>Сравнение</t>
        </is>
      </c>
      <c r="C37" s="269" t="inlineStr">
        <is>
          <t>Один из этих инструментов скоро станет платным — угадай, какой</t>
        </is>
      </c>
      <c r="D37" s="272" t="inlineStr">
        <is>
          <t>Curiosity Trap</t>
        </is>
      </c>
      <c r="E37" s="270" t="inlineStr">
        <is>
          <t>Сравниваем функциональность вслепую → намёк на смену модели монетизации → раскрытие в payoff</t>
        </is>
      </c>
      <c r="F37" s="270" t="inlineStr">
        <is>
          <t>Финансовая интрига «успею ли я» мотивирует досмотр и сохранение</t>
        </is>
      </c>
      <c r="G37" s="271" t="inlineStr">
        <is>
          <t>Высокие сейвы «чтобы успеть», комментарии с предположениями</t>
        </is>
      </c>
    </row>
    <row r="38" ht="57.75" customHeight="1" s="145">
      <c r="A38" s="261" t="n">
        <v>31</v>
      </c>
      <c r="B38" s="262" t="inlineStr">
        <is>
          <t>Новость</t>
        </is>
      </c>
      <c r="C38" s="263" t="inlineStr">
        <is>
          <t>Это не баг — это специально скрытая функция нового релиза</t>
        </is>
      </c>
      <c r="D38" s="272" t="inlineStr">
        <is>
          <t>Curiosity Trap</t>
        </is>
      </c>
      <c r="E38" s="265" t="inlineStr">
        <is>
          <t>Показываем «странное» поведение интерфейса → переворот ожидания → объяснение как фичи</t>
        </is>
      </c>
      <c r="F38" s="265" t="inlineStr">
        <is>
          <t>Переворот ожидания «баг или фича» — классический crowd-triggering твист</t>
        </is>
      </c>
      <c r="G38" s="266" t="inlineStr">
        <is>
          <t>Высокий completion rate, споры в комментариях до объяснения</t>
        </is>
      </c>
    </row>
    <row r="39" ht="57.75" customHeight="1" s="145">
      <c r="A39" s="267" t="n">
        <v>32</v>
      </c>
      <c r="B39" s="268" t="inlineStr">
        <is>
          <t>Юмор</t>
        </is>
      </c>
      <c r="C39" s="269" t="inlineStr">
        <is>
          <t>Я не скажу, что попросил — угадай по результату</t>
        </is>
      </c>
      <c r="D39" s="272" t="inlineStr">
        <is>
          <t>Curiosity Trap</t>
        </is>
      </c>
      <c r="E39" s="270" t="inlineStr">
        <is>
          <t>Показываем только результат генерации → зрители гадают в комментариях → промпт раскрывается в конце</t>
        </is>
      </c>
      <c r="F39" s="270" t="inlineStr">
        <is>
          <t>Игровой формат угадывания стимулирует комментирование до раскрытия ответа</t>
        </is>
      </c>
      <c r="G39" s="271" t="inlineStr">
        <is>
          <t>Высокая комментарийная активность, рост охвата за счёт обсуждения</t>
        </is>
      </c>
    </row>
    <row r="40" ht="57.75" customHeight="1" s="145">
      <c r="A40" s="261" t="n">
        <v>33</v>
      </c>
      <c r="B40" s="262" t="inlineStr">
        <is>
          <t>Продуктивность</t>
        </is>
      </c>
      <c r="C40" s="263" t="inlineStr">
        <is>
          <t>Эта мелочь в Google Calendar экономит час в неделю, но её выключают по умолчанию</t>
        </is>
      </c>
      <c r="D40" s="272" t="inlineStr">
        <is>
          <t>Curiosity Trap</t>
        </is>
      </c>
      <c r="E40" s="265" t="inlineStr">
        <is>
          <t>Указываем на дефолтное состояние «выключено» как разрыв → шаги включения → итоговый эффект</t>
        </is>
      </c>
      <c r="F40" s="265" t="inlineStr">
        <is>
          <t>Конкретная цифра экономии плюс ощущение упущенной выгоды удерживает внимание</t>
        </is>
      </c>
      <c r="G40" s="266" t="inlineStr">
        <is>
          <t>Высокие сейвы, переходы в настройки сразу после просмотра</t>
        </is>
      </c>
    </row>
    <row r="41" ht="57.75" customHeight="1" s="145">
      <c r="A41" s="267" t="n">
        <v>34</v>
      </c>
      <c r="B41" s="268" t="inlineStr">
        <is>
          <t>Продуктивность</t>
        </is>
      </c>
      <c r="C41" s="269" t="inlineStr">
        <is>
          <t>Если ты ещё закрываешь отчёты вручную — это видео для тебя</t>
        </is>
      </c>
      <c r="D41" s="273" t="inlineStr">
        <is>
          <t>Identity Selling</t>
        </is>
      </c>
      <c r="E41" s="270" t="inlineStr">
        <is>
          <t>Обозначаем «отстающую» идентичность → демонстрация AI-решения → новый статус «продвинутого» в payoff</t>
        </is>
      </c>
      <c r="F41" s="270" t="inlineStr">
        <is>
          <t>Зритель делится, чтобы дистанцироваться от «отстающей» идентичности и показать новый статус</t>
        </is>
      </c>
      <c r="G41" s="271" t="inlineStr">
        <is>
          <t>Высокие репосты коллегам с подписью «нам это нужно»</t>
        </is>
      </c>
    </row>
    <row r="42" ht="57.75" customHeight="1" s="145">
      <c r="A42" s="261" t="n">
        <v>35</v>
      </c>
      <c r="B42" s="262" t="inlineStr">
        <is>
          <t>Сравнение</t>
        </is>
      </c>
      <c r="C42" s="263" t="inlineStr">
        <is>
          <t>AI-пользователи топ-1% никогда не пишут промпт вот так</t>
        </is>
      </c>
      <c r="D42" s="273" t="inlineStr">
        <is>
          <t>Identity Selling</t>
        </is>
      </c>
      <c r="E42" s="265" t="inlineStr">
        <is>
          <t>Контраст «обычный» vs «продвинутый» промпт → разница в результате → приглашение войти в группу «1%»</t>
        </is>
      </c>
      <c r="F42" s="265" t="inlineStr">
        <is>
          <t>Аспирационная идентичность мотивирует сохранять и подражать «инсайдерам»</t>
        </is>
      </c>
      <c r="G42" s="266" t="inlineStr">
        <is>
          <t>Высокие сейвы, попытки повторить «продвинутый» промпт в комментариях</t>
        </is>
      </c>
    </row>
    <row r="43" ht="57.75" customHeight="1" s="145">
      <c r="A43" s="267" t="n">
        <v>36</v>
      </c>
      <c r="B43" s="268" t="inlineStr">
        <is>
          <t>Туториал</t>
        </is>
      </c>
      <c r="C43" s="269" t="inlineStr">
        <is>
          <t>Это для тех, кто называет себя организованным, но живёт в хаосе вкладок</t>
        </is>
      </c>
      <c r="D43" s="273" t="inlineStr">
        <is>
          <t>Identity Selling</t>
        </is>
      </c>
      <c r="E43" s="270" t="inlineStr">
        <is>
          <t>Узнаваемая самоирония → демонстрация AI-инструмента наведения порядка → финальный «чистый» экран</t>
        </is>
      </c>
      <c r="F43" s="270" t="inlineStr">
        <is>
          <t>Самоидентификация с лёгкой самоиронией провоцирует тег друзей «это про нас»</t>
        </is>
      </c>
      <c r="G43" s="271" t="inlineStr">
        <is>
          <t>Высокие отметки друзей в комментариях</t>
        </is>
      </c>
    </row>
    <row r="44" ht="57.75" customHeight="1" s="145">
      <c r="A44" s="261" t="n">
        <v>37</v>
      </c>
      <c r="B44" s="262" t="inlineStr">
        <is>
          <t>AI для бизнеса</t>
        </is>
      </c>
      <c r="C44" s="263" t="inlineStr">
        <is>
          <t>Менеджеры, которые ещё не используют AI в отчётах, скоро будут не нужны</t>
        </is>
      </c>
      <c r="D44" s="273" t="inlineStr">
        <is>
          <t>Identity Selling</t>
        </is>
      </c>
      <c r="E44" s="265" t="inlineStr">
        <is>
          <t>Тревожная идентичность «устаревающего специалиста» → конкретное решение → идентичность «незаменимого»</t>
        </is>
      </c>
      <c r="F44" s="265" t="inlineStr">
        <is>
          <t>Страх профессионального устаревания — сильный мотиватор пересылки коллегам</t>
        </is>
      </c>
      <c r="G44" s="266" t="inlineStr">
        <is>
          <t>Высокие репосты внутри рабочих чатов, сохранения «к разговору с командой»</t>
        </is>
      </c>
    </row>
    <row r="45" ht="57.75" customHeight="1" s="145">
      <c r="A45" s="267" t="n">
        <v>38</v>
      </c>
      <c r="B45" s="268" t="inlineStr">
        <is>
          <t>Юмор</t>
        </is>
      </c>
      <c r="C45" s="269" t="inlineStr">
        <is>
          <t>POV: ты всё ещё гуглишь, пока коллега уже спросил у AI</t>
        </is>
      </c>
      <c r="D45" s="273" t="inlineStr">
        <is>
          <t>Identity Selling</t>
        </is>
      </c>
      <c r="E45" s="270" t="inlineStr">
        <is>
          <t>Комедийный контраст двух идентичностей в одном офисе → демонстрация скорости AI-метода → ирония в payoff</t>
        </is>
      </c>
      <c r="F45" s="270" t="inlineStr">
        <is>
          <t>Узнаваемая офисная ситуация провоцирует тег конкретного коллеги</t>
        </is>
      </c>
      <c r="G45" s="271" t="inlineStr">
        <is>
          <t>Высокая активность тегов в комментариях, шеры в рабочие чаты</t>
        </is>
      </c>
    </row>
    <row r="46" ht="57.75" customHeight="1" s="145">
      <c r="A46" s="261" t="n">
        <v>39</v>
      </c>
      <c r="B46" s="262" t="inlineStr">
        <is>
          <t>Продуктивность</t>
        </is>
      </c>
      <c r="C46" s="263" t="inlineStr">
        <is>
          <t>Фрилансеры, которые ценят своё время, делают именно так</t>
        </is>
      </c>
      <c r="D46" s="273" t="inlineStr">
        <is>
          <t>Identity Selling</t>
        </is>
      </c>
      <c r="E46" s="265" t="inlineStr">
        <is>
          <t>Аспирационная идентичность «ценящего время» → конкретный AI-приём → результат в часах</t>
        </is>
      </c>
      <c r="F46" s="265" t="inlineStr">
        <is>
          <t>Зритель шерит, чтобы подтвердить принадлежность к группе «ценящих время»</t>
        </is>
      </c>
      <c r="G46" s="266" t="inlineStr">
        <is>
          <t>Высокие сохранения, репосты во фриланс-сообщества</t>
        </is>
      </c>
    </row>
    <row r="47" ht="57.75" customHeight="1" s="145">
      <c r="A47" s="267" t="n">
        <v>40</v>
      </c>
      <c r="B47" s="268" t="inlineStr">
        <is>
          <t>Туториал</t>
        </is>
      </c>
      <c r="C47" s="269" t="inlineStr">
        <is>
          <t>Если ты студент и ещё не настроил это — ты усложняешь себе жизнь зря</t>
        </is>
      </c>
      <c r="D47" s="273" t="inlineStr">
        <is>
          <t>Identity Selling</t>
        </is>
      </c>
      <c r="E47" s="270" t="inlineStr">
        <is>
          <t>Идентичность «студента, который усложняет себе жизнь» → пошаговая настройка → облегчённый процесс в финале</t>
        </is>
      </c>
      <c r="F47" s="270" t="inlineStr">
        <is>
          <t>Студенческая аудитория активно делится лайфхаками внутри учебных групп</t>
        </is>
      </c>
      <c r="G47" s="271" t="inlineStr">
        <is>
          <t>Высокие репосты в групповые чаты, сохранения перед сессией</t>
        </is>
      </c>
    </row>
    <row r="48" ht="57.75" customHeight="1" s="145">
      <c r="A48" s="261" t="n">
        <v>41</v>
      </c>
      <c r="B48" s="262" t="inlineStr">
        <is>
          <t>Сравнение</t>
        </is>
      </c>
      <c r="C48" s="263" t="inlineStr">
        <is>
          <t>Опытные маркетологи выбирают между этими двумя иначе, чем новички</t>
        </is>
      </c>
      <c r="D48" s="273" t="inlineStr">
        <is>
          <t>Identity Selling</t>
        </is>
      </c>
      <c r="E48" s="265" t="inlineStr">
        <is>
          <t>Контраст «новичок» vs «опытный» в выборе инструмента → критерий выбора → приглашение в группу «опытных»</t>
        </is>
      </c>
      <c r="F48" s="265" t="inlineStr">
        <is>
          <t>Профессиональная идентичность стимулирует пересылку внутри маркетинговых команд</t>
        </is>
      </c>
      <c r="G48" s="266" t="inlineStr">
        <is>
          <t>Высокие сохранения как референс для команды</t>
        </is>
      </c>
    </row>
    <row r="49" ht="57.75" customHeight="1" s="145">
      <c r="A49" s="267" t="n">
        <v>42</v>
      </c>
      <c r="B49" s="268" t="inlineStr">
        <is>
          <t>Юмор</t>
        </is>
      </c>
      <c r="C49" s="269" t="inlineStr">
        <is>
          <t>Это видео не для тех, кто ещё печатает письма с нуля — для остальных</t>
        </is>
      </c>
      <c r="D49" s="273" t="inlineStr">
        <is>
          <t>Identity Selling</t>
        </is>
      </c>
      <c r="E49" s="270" t="inlineStr">
        <is>
          <t>Лёгкое исключение «непродвинутых» из аудитории → демонстрация AI-шаблона → ирония в payoff</t>
        </is>
      </c>
      <c r="F49" s="270" t="inlineStr">
        <is>
          <t>Лёгкий троллинг идентичности провоцирует пересылку и как шутку, и как подсказку</t>
        </is>
      </c>
      <c r="G49" s="271" t="inlineStr">
        <is>
          <t>Высокие репосты с подписью «это тебе»</t>
        </is>
      </c>
    </row>
    <row r="50" ht="57.75" customHeight="1" s="145">
      <c r="A50" s="261" t="n">
        <v>43</v>
      </c>
      <c r="B50" s="262" t="inlineStr">
        <is>
          <t>AI-новости</t>
        </is>
      </c>
      <c r="C50" s="263" t="inlineStr">
        <is>
          <t>Те, кто следит за AI каждый день, уже знают эту новость</t>
        </is>
      </c>
      <c r="D50" s="273" t="inlineStr">
        <is>
          <t>Identity Selling</t>
        </is>
      </c>
      <c r="E50" s="265" t="inlineStr">
        <is>
          <t>Идентичность «осведомлённого инсайдера» → подача новости «для своих» → деталь, неизвестная массовой аудитории</t>
        </is>
      </c>
      <c r="F50" s="265" t="inlineStr">
        <is>
          <t>Зритель делится, чтобы подтвердить статус «следящего за трендами»</t>
        </is>
      </c>
      <c r="G50" s="266" t="inlineStr">
        <is>
          <t>Высокие репосты как демонстрация осведомлённости</t>
        </is>
      </c>
    </row>
    <row r="51" ht="57.75" customHeight="1" s="145">
      <c r="A51" s="267" t="n">
        <v>44</v>
      </c>
      <c r="B51" s="268" t="inlineStr">
        <is>
          <t>Продуктивность</t>
        </is>
      </c>
      <c r="C51" s="269" t="inlineStr">
        <is>
          <t>Руководители, у которых нет времени на хаос, делают это в начале недели</t>
        </is>
      </c>
      <c r="D51" s="273" t="inlineStr">
        <is>
          <t>Identity Selling</t>
        </is>
      </c>
      <c r="E51" s="270" t="inlineStr">
        <is>
          <t>Идентичность «организованного руководителя» → конкретный понедельничный AI-ритуал → итог: чистая неделя</t>
        </is>
      </c>
      <c r="F51" s="270" t="inlineStr">
        <is>
          <t>Управленческая аудитория делится внутри руководящих чатов как стандарт</t>
        </is>
      </c>
      <c r="G51" s="271" t="inlineStr">
        <is>
          <t>Высокие сохранения, репосты в управленческие сообщества</t>
        </is>
      </c>
    </row>
    <row r="52" ht="57.75" customHeight="1" s="145">
      <c r="A52" s="261" t="n">
        <v>45</v>
      </c>
      <c r="B52" s="262" t="inlineStr">
        <is>
          <t>Туториал</t>
        </is>
      </c>
      <c r="C52" s="263" t="inlineStr">
        <is>
          <t>Разработчики, которые ценят свой код, не пишут boilerplate руками в 2026</t>
        </is>
      </c>
      <c r="D52" s="273" t="inlineStr">
        <is>
          <t>Identity Selling</t>
        </is>
      </c>
      <c r="E52" s="265" t="inlineStr">
        <is>
          <t>Профессиональная идентичность «ценящего качество кода» → демонстрация AI-ассистента → ускоренный результат</t>
        </is>
      </c>
      <c r="F52" s="265" t="inlineStr">
        <is>
          <t>Технически подкованная аудитория делится в dev-комьюнити как маркер актуальности</t>
        </is>
      </c>
      <c r="G52" s="266" t="inlineStr">
        <is>
          <t>Высокие репосты в dev-чаты и каналы</t>
        </is>
      </c>
    </row>
    <row r="53" ht="57.75" customHeight="1" s="145">
      <c r="A53" s="267" t="n">
        <v>46</v>
      </c>
      <c r="B53" s="268" t="inlineStr">
        <is>
          <t>AI для бизнеса</t>
        </is>
      </c>
      <c r="C53" s="269" t="inlineStr">
        <is>
          <t>Компании, которые масштабируются без найма, делают именно это</t>
        </is>
      </c>
      <c r="D53" s="273" t="inlineStr">
        <is>
          <t>Identity Selling</t>
        </is>
      </c>
      <c r="E53" s="270" t="inlineStr">
        <is>
          <t>Аспирационная бизнес-идентичность «эффективных» → кейс автоматизации → результат в цифрах</t>
        </is>
      </c>
      <c r="F53" s="270" t="inlineStr">
        <is>
          <t>Предприниматели делятся, чтобы ассоциировать себя с «эффективными» компаниями</t>
        </is>
      </c>
      <c r="G53" s="271" t="inlineStr">
        <is>
          <t>Высокие сохранения, пересылка инвесторам и партнёрам</t>
        </is>
      </c>
    </row>
    <row r="54" ht="57.75" customHeight="1" s="145">
      <c r="A54" s="261" t="n">
        <v>47</v>
      </c>
      <c r="B54" s="262" t="inlineStr">
        <is>
          <t>Сравнение</t>
        </is>
      </c>
      <c r="C54" s="263" t="inlineStr">
        <is>
          <t>Дизайнеры, которые не боятся AI, выбирают этот инструмент по другой причине</t>
        </is>
      </c>
      <c r="D54" s="273" t="inlineStr">
        <is>
          <t>Identity Selling</t>
        </is>
      </c>
      <c r="E54" s="265" t="inlineStr">
        <is>
          <t>Идентичность «небоящегося дизайнера» против скептиков → объяснение критерия → приглашение в группу</t>
        </is>
      </c>
      <c r="F54" s="265" t="inlineStr">
        <is>
          <t>Профессиональная гордость стимулирует репост в дизайн-сообщества</t>
        </is>
      </c>
      <c r="G54" s="266" t="inlineStr">
        <is>
          <t>Высокие сохранения, обсуждение в комментариях с про- и контра-аргументами</t>
        </is>
      </c>
    </row>
    <row r="55" ht="57.75" customHeight="1" s="145">
      <c r="A55" s="267" t="n">
        <v>48</v>
      </c>
      <c r="B55" s="268" t="inlineStr">
        <is>
          <t>Продуктивность</t>
        </is>
      </c>
      <c r="C55" s="269" t="inlineStr">
        <is>
          <t>Это для тех, кто устал быть «всегда онлайн» по работе</t>
        </is>
      </c>
      <c r="D55" s="273" t="inlineStr">
        <is>
          <t>Identity Selling</t>
        </is>
      </c>
      <c r="E55" s="270" t="inlineStr">
        <is>
          <t>Идентичность уставшего от переработок → AI-решение для границ → новая идентичность «человека с балансом»</t>
        </is>
      </c>
      <c r="F55" s="270" t="inlineStr">
        <is>
          <t>Эмоциональный отклик про баланс жизни и работы провоцирует репост близким</t>
        </is>
      </c>
      <c r="G55" s="271" t="inlineStr">
        <is>
          <t>Высокие репосты с личными комментариями о выгорании</t>
        </is>
      </c>
    </row>
    <row r="56" ht="57.75" customHeight="1" s="145">
      <c r="A56" s="261" t="n">
        <v>49</v>
      </c>
      <c r="B56" s="262" t="inlineStr">
        <is>
          <t>Туториал</t>
        </is>
      </c>
      <c r="C56" s="263" t="inlineStr">
        <is>
          <t>Копирайтеры нового поколения больше не боятся чистого листа — вот почему</t>
        </is>
      </c>
      <c r="D56" s="273" t="inlineStr">
        <is>
          <t>Identity Selling</t>
        </is>
      </c>
      <c r="E56" s="265" t="inlineStr">
        <is>
          <t>Идентичность «нового поколения» против страха чистого листа → AI-приём для старта текста → итог</t>
        </is>
      </c>
      <c r="F56" s="265" t="inlineStr">
        <is>
          <t>Профессиональная идентичность мотивирует шерить внутри копирайтерских комьюнити</t>
        </is>
      </c>
      <c r="G56" s="266" t="inlineStr">
        <is>
          <t>Высокие сохранения, обсуждения техник в комментариях</t>
        </is>
      </c>
    </row>
    <row r="57" ht="57.75" customHeight="1" s="145">
      <c r="A57" s="267" t="n">
        <v>50</v>
      </c>
      <c r="B57" s="268" t="inlineStr">
        <is>
          <t>Промо</t>
        </is>
      </c>
      <c r="C57" s="269" t="inlineStr">
        <is>
          <t>Студенты, которые внедрили AI первыми, уже обогнали поток</t>
        </is>
      </c>
      <c r="D57" s="273" t="inlineStr">
        <is>
          <t>Identity Selling</t>
        </is>
      </c>
      <c r="E57" s="270" t="inlineStr">
        <is>
          <t>Идентичность «опередившего поток» → конкретный кейс выпускника → приглашение присоединиться</t>
        </is>
      </c>
      <c r="F57" s="270" t="inlineStr">
        <is>
          <t>Социальное доказательство плюс страх отстать мотивирует репост в учебные чаты</t>
        </is>
      </c>
      <c r="G57" s="271" t="inlineStr">
        <is>
          <t>Высокие переходы по ссылке, репосты потенциальным студентам</t>
        </is>
      </c>
    </row>
    <row r="58" ht="57.75" customHeight="1" s="145">
      <c r="A58" s="261" t="n">
        <v>51</v>
      </c>
      <c r="B58" s="262" t="inlineStr">
        <is>
          <t>Сравнение</t>
        </is>
      </c>
      <c r="C58" s="263" t="inlineStr">
        <is>
          <t>Я протестировал 47 AI-инструментов за месяц — вот топ-3 для работы с текстом</t>
        </is>
      </c>
      <c r="D58" s="274" t="inlineStr">
        <is>
          <t>Authority</t>
        </is>
      </c>
      <c r="E58" s="265" t="inlineStr">
        <is>
          <t>Скринкаст интерфейса вместо лица как доказательство объёма тестирования в первом кадре → 3 инструмента с цифрами → итоговый рейтинг</t>
        </is>
      </c>
      <c r="F58" s="265" t="inlineStr">
        <is>
          <t>Доверие к объёму экспертизы повышает шанс сохранения как авторитетного источника</t>
        </is>
      </c>
      <c r="G58" s="266" t="inlineStr">
        <is>
          <t>Высокие сохранения, низкий ранний отток благодаря мгновенному доверию</t>
        </is>
      </c>
    </row>
    <row r="59" ht="57.75" customHeight="1" s="145">
      <c r="A59" s="267" t="n">
        <v>52</v>
      </c>
      <c r="B59" s="268" t="inlineStr">
        <is>
          <t>Туториал</t>
        </is>
      </c>
      <c r="C59" s="269" t="inlineStr">
        <is>
          <t>8 лет в маркетинге — и это первый AI-инструмент, который реально меняет процесс</t>
        </is>
      </c>
      <c r="D59" s="274" t="inlineStr">
        <is>
          <t>Authority</t>
        </is>
      </c>
      <c r="E59" s="270" t="inlineStr">
        <is>
          <t>Конкретный профессиональный стаж как credential → демонстрация инструмента → личная оценка эксперта</t>
        </is>
      </c>
      <c r="F59" s="270" t="inlineStr">
        <is>
          <t>Профессиональный авторитет повышает вес рекомендации для целевой аудитории</t>
        </is>
      </c>
      <c r="G59" s="271" t="inlineStr">
        <is>
          <t>Высокий completion rate, доверительные комментарии с вопросами</t>
        </is>
      </c>
    </row>
    <row r="60" ht="57.75" customHeight="1" s="145">
      <c r="A60" s="261" t="n">
        <v>53</v>
      </c>
      <c r="B60" s="262" t="inlineStr">
        <is>
          <t>Новость</t>
        </is>
      </c>
      <c r="C60" s="263" t="inlineStr">
        <is>
          <t>Я был на презентации релиза — вот что не попало в официальный анонс</t>
        </is>
      </c>
      <c r="D60" s="274" t="inlineStr">
        <is>
          <t>Authority</t>
        </is>
      </c>
      <c r="E60" s="265" t="inlineStr">
        <is>
          <t>Личное присутствие как доказательство первоисточника → детали, не описанные в пресс-релизе → вывод</t>
        </is>
      </c>
      <c r="F60" s="265" t="inlineStr">
        <is>
          <t>Эксклюзивность инсайдерской информации повышает доверие и желание поделиться «из первых рук»</t>
        </is>
      </c>
      <c r="G60" s="266" t="inlineStr">
        <is>
          <t>Высокие репосты с пометкой «из первых рук»</t>
        </is>
      </c>
    </row>
    <row r="61" ht="57.75" customHeight="1" s="145">
      <c r="A61" s="267" t="n">
        <v>54</v>
      </c>
      <c r="B61" s="268" t="inlineStr">
        <is>
          <t>AI для бизнеса</t>
        </is>
      </c>
      <c r="C61" s="269" t="inlineStr">
        <is>
          <t>Цифры из реального проекта на 50 000 строк данных — не из демо</t>
        </is>
      </c>
      <c r="D61" s="274" t="inlineStr">
        <is>
          <t>Authority</t>
        </is>
      </c>
      <c r="E61" s="270" t="inlineStr">
        <is>
          <t>Указание реального масштаба данных в первом кадре → процесс на реальном датасете → измеримый итог</t>
        </is>
      </c>
      <c r="F61" s="270" t="inlineStr">
        <is>
          <t>Достоверность реального кейса повышает доверие B2B-аудитории сильнее синтетического демо</t>
        </is>
      </c>
      <c r="G61" s="271" t="inlineStr">
        <is>
          <t>Высокие сохранения, переходы в профиль за консультацией</t>
        </is>
      </c>
    </row>
    <row r="62" ht="57.75" customHeight="1" s="145">
      <c r="A62" s="261" t="n">
        <v>55</v>
      </c>
      <c r="B62" s="262" t="inlineStr">
        <is>
          <t>Шоукейс</t>
        </is>
      </c>
      <c r="C62" s="263" t="inlineStr">
        <is>
          <t>Скринкаст, не постановка: я не останавливал запись ни разу</t>
        </is>
      </c>
      <c r="D62" s="274" t="inlineStr">
        <is>
          <t>Authority</t>
        </is>
      </c>
      <c r="E62" s="265" t="inlineStr">
        <is>
          <t>Явное заявление о непрерывной записи как доказательство честности → процесс целиком → результат</t>
        </is>
      </c>
      <c r="F62" s="265" t="inlineStr">
        <is>
          <t>Подчёркнутая прозрачность повышает доверие в нише, где много постановочных демо</t>
        </is>
      </c>
      <c r="G62" s="266" t="inlineStr">
        <is>
          <t>Высокий completion rate, комментарии с благодарностью за честность</t>
        </is>
      </c>
    </row>
    <row r="63" ht="57.75" customHeight="1" s="145">
      <c r="A63" s="267" t="n">
        <v>56</v>
      </c>
      <c r="B63" s="268" t="inlineStr">
        <is>
          <t>Туториал</t>
        </is>
      </c>
      <c r="C63" s="269" t="inlineStr">
        <is>
          <t>Сертифицированный тренер по Notion показывает то, что не входит в официальный курс</t>
        </is>
      </c>
      <c r="D63" s="274" t="inlineStr">
        <is>
          <t>Authority</t>
        </is>
      </c>
      <c r="E63" s="270" t="inlineStr">
        <is>
          <t>Профессиональная сертификация как credential → демонстрация продвинутого приёма → личная рекомендация</t>
        </is>
      </c>
      <c r="F63" s="270" t="inlineStr">
        <is>
          <t>Экспертный статус повышает доверие, особенно у нишевой профессиональной аудитории</t>
        </is>
      </c>
      <c r="G63" s="271" t="inlineStr">
        <is>
          <t>Высокие сохранения как обучающий материал</t>
        </is>
      </c>
    </row>
    <row r="64" ht="57.75" customHeight="1" s="145">
      <c r="A64" s="261" t="n">
        <v>57</v>
      </c>
      <c r="B64" s="262" t="inlineStr">
        <is>
          <t>Сравнение</t>
        </is>
      </c>
      <c r="C64" s="263" t="inlineStr">
        <is>
          <t>После 200 часов работы в обоих инструментах — вот честный вердикт</t>
        </is>
      </c>
      <c r="D64" s="274" t="inlineStr">
        <is>
          <t>Authority</t>
        </is>
      </c>
      <c r="E64" s="265" t="inlineStr">
        <is>
          <t>Конкретное количество часов как доказательство глубины опыта → сравнение по реальным сценариям → итог</t>
        </is>
      </c>
      <c r="F64" s="265" t="inlineStr">
        <is>
          <t>Объём личного опыта повышает вес мнения сильнее, чем у разовых обзоров</t>
        </is>
      </c>
      <c r="G64" s="266" t="inlineStr">
        <is>
          <t>Высокие сохранения, доверительные комментарии-вопросы по нюансам</t>
        </is>
      </c>
    </row>
    <row r="65" ht="57.75" customHeight="1" s="145">
      <c r="A65" s="267" t="n">
        <v>58</v>
      </c>
      <c r="B65" s="268" t="inlineStr">
        <is>
          <t>AI-новости</t>
        </is>
      </c>
      <c r="C65" s="269" t="inlineStr">
        <is>
          <t>Я читаю changelog каждого релиза — вот что реально важно из вчерашнего обновления</t>
        </is>
      </c>
      <c r="D65" s="274" t="inlineStr">
        <is>
          <t>Authority</t>
        </is>
      </c>
      <c r="E65" s="270" t="inlineStr">
        <is>
          <t>Регулярность мониторинга как credential → фильтрация важного из списка изменений → вывод для пользователя</t>
        </is>
      </c>
      <c r="F65" s="270" t="inlineStr">
        <is>
          <t>Экспертная фильтрация информации экономит время зрителю, повышая шанс сохранения и подписки</t>
        </is>
      </c>
      <c r="G65" s="271" t="inlineStr">
        <is>
          <t>Высокий completion rate, рост подписки как на «надёжный фильтр новостей»</t>
        </is>
      </c>
    </row>
    <row r="66" ht="57.75" customHeight="1" s="145">
      <c r="A66" s="261" t="n">
        <v>59</v>
      </c>
      <c r="B66" s="262" t="inlineStr">
        <is>
          <t>Продуктивность</t>
        </is>
      </c>
      <c r="C66" s="263" t="inlineStr">
        <is>
          <t>Я веду команду из 12 человек на AI-автоматизации — вот стек целиком</t>
        </is>
      </c>
      <c r="D66" s="274" t="inlineStr">
        <is>
          <t>Authority</t>
        </is>
      </c>
      <c r="E66" s="265" t="inlineStr">
        <is>
          <t>Управленческий опыт и масштаб команды как credential → обзор реального стека → результат по времени команды</t>
        </is>
      </c>
      <c r="F66" s="265" t="inlineStr">
        <is>
          <t>Реальный управленческий кейс убедительнее теоретических советов для руководителей</t>
        </is>
      </c>
      <c r="G66" s="266" t="inlineStr">
        <is>
          <t>Высокие сохранения, переходы в профиль за консультацией</t>
        </is>
      </c>
    </row>
    <row r="67" ht="57.75" customHeight="1" s="145">
      <c r="A67" s="267" t="n">
        <v>60</v>
      </c>
      <c r="B67" s="268" t="inlineStr">
        <is>
          <t>Туториал</t>
        </is>
      </c>
      <c r="C67" s="269" t="inlineStr">
        <is>
          <t>Бывший инженер крупной AI-лаборатории объясняет, как на самом деле работает промпт-инжиниринг</t>
        </is>
      </c>
      <c r="D67" s="274" t="inlineStr">
        <is>
          <t>Authority</t>
        </is>
      </c>
      <c r="E67" s="270" t="inlineStr">
        <is>
          <t>Профессиональный бэкграунд как credential → разбор механики на конкретном примере → практический вывод</t>
        </is>
      </c>
      <c r="F67" s="270" t="inlineStr">
        <is>
          <t>Инсайдерский профессиональный опыт резко повышает воспринимаемую достоверность</t>
        </is>
      </c>
      <c r="G67" s="271" t="inlineStr">
        <is>
          <t>Высокие сохранения, репосты как «экспертное мнение»</t>
        </is>
      </c>
    </row>
    <row r="68" ht="57.75" customHeight="1" s="145">
      <c r="A68" s="261" t="n">
        <v>61</v>
      </c>
      <c r="B68" s="262" t="inlineStr">
        <is>
          <t>Сравнение</t>
        </is>
      </c>
      <c r="C68" s="263" t="inlineStr">
        <is>
          <t>Я тестировал AI-инструменты в трёх агентствах — везде разные победители</t>
        </is>
      </c>
      <c r="D68" s="274" t="inlineStr">
        <is>
          <t>Authority</t>
        </is>
      </c>
      <c r="E68" s="265" t="inlineStr">
        <is>
          <t>Множественный контекст применения как credential → сравнение по типу агентства → нюансированный вывод</t>
        </is>
      </c>
      <c r="F68" s="265" t="inlineStr">
        <is>
          <t>Нюансированная экспертиза (не «всем подходит одно») повышает доверие искушённой аудитории</t>
        </is>
      </c>
      <c r="G68" s="266" t="inlineStr">
        <is>
          <t>Высокие сохранения, обсуждение в комментариях своего контекста</t>
        </is>
      </c>
    </row>
    <row r="69" ht="57.75" customHeight="1" s="145">
      <c r="A69" s="267" t="n">
        <v>62</v>
      </c>
      <c r="B69" s="268" t="inlineStr">
        <is>
          <t>AI для бизнеса</t>
        </is>
      </c>
      <c r="C69" s="269" t="inlineStr">
        <is>
          <t>Финансовый директор объясняет, как считать ROI от AI правильно</t>
        </is>
      </c>
      <c r="D69" s="274" t="inlineStr">
        <is>
          <t>Authority</t>
        </is>
      </c>
      <c r="E69" s="270" t="inlineStr">
        <is>
          <t>Профессиональная роль как credential → разбор частой ошибки в расчёте → правильная формула</t>
        </is>
      </c>
      <c r="F69" s="270" t="inlineStr">
        <is>
          <t>Финансовая экспертиза резко повышает доверие к цифрам ROI у бизнес-аудитории</t>
        </is>
      </c>
      <c r="G69" s="271" t="inlineStr">
        <is>
          <t>Высокие сохранения как референс для собственных расчётов</t>
        </is>
      </c>
    </row>
    <row r="70" ht="57.75" customHeight="1" s="145">
      <c r="A70" s="261" t="n">
        <v>63</v>
      </c>
      <c r="B70" s="262" t="inlineStr">
        <is>
          <t>Туториал</t>
        </is>
      </c>
      <c r="C70" s="263" t="inlineStr">
        <is>
          <t>10 000 промптов протестировано — вот формула, которая работает чаще всего</t>
        </is>
      </c>
      <c r="D70" s="274" t="inlineStr">
        <is>
          <t>Authority</t>
        </is>
      </c>
      <c r="E70" s="265" t="inlineStr">
        <is>
          <t>Объём тестирования как credential → разбор формулы по частям → пример применения</t>
        </is>
      </c>
      <c r="F70" s="265" t="inlineStr">
        <is>
          <t>Статистическая основательность сильнее единичного личного опыта</t>
        </is>
      </c>
      <c r="G70" s="266" t="inlineStr">
        <is>
          <t>Высокие сохранения, попытки применить формулу в комментариях</t>
        </is>
      </c>
    </row>
    <row r="71" ht="57.75" customHeight="1" s="145">
      <c r="A71" s="267" t="n">
        <v>64</v>
      </c>
      <c r="B71" s="268" t="inlineStr">
        <is>
          <t>Шоукейс</t>
        </is>
      </c>
      <c r="C71" s="269" t="inlineStr">
        <is>
          <t>Профессиональный видеомонтажёр: вот где AI ещё не заменит человека</t>
        </is>
      </c>
      <c r="D71" s="274" t="inlineStr">
        <is>
          <t>Authority</t>
        </is>
      </c>
      <c r="E71" s="270" t="inlineStr">
        <is>
          <t>Профессиональный статус как credential для честного контринтуитивного вывода → примеры ограничений → баланс мнения</t>
        </is>
      </c>
      <c r="F71" s="270" t="inlineStr">
        <is>
          <t>Честность эксперта о пределах технологии повышает доверие сильнее, чем хайп</t>
        </is>
      </c>
      <c r="G71" s="271" t="inlineStr">
        <is>
          <t>Высокие сохранения, доверительные обсуждения в комментариях</t>
        </is>
      </c>
    </row>
    <row r="72" ht="57.75" customHeight="1" s="145">
      <c r="A72" s="261" t="n">
        <v>65</v>
      </c>
      <c r="B72" s="262" t="inlineStr">
        <is>
          <t>Продуктивность</t>
        </is>
      </c>
      <c r="C72" s="263" t="inlineStr">
        <is>
          <t>Коуч по продуктивности 6 лет — вот единственный AI-инструмент, который я реально использую</t>
        </is>
      </c>
      <c r="D72" s="274" t="inlineStr">
        <is>
          <t>Authority</t>
        </is>
      </c>
      <c r="E72" s="265" t="inlineStr">
        <is>
          <t>Профессиональный опыт как credential → честный отбор «единственного» инструмента из множества → причина выбора</t>
        </is>
      </c>
      <c r="F72" s="265" t="inlineStr">
        <is>
          <t>Избирательность эксперта повышает доверие через простоту выбора</t>
        </is>
      </c>
      <c r="G72" s="266" t="inlineStr">
        <is>
          <t>Высокие сохранения, рост подписки на профиль эксперта</t>
        </is>
      </c>
    </row>
    <row r="73" ht="57.75" customHeight="1" s="145">
      <c r="A73" s="267" t="n">
        <v>66</v>
      </c>
      <c r="B73" s="268" t="inlineStr">
        <is>
          <t>AI-новости</t>
        </is>
      </c>
      <c r="C73" s="269" t="inlineStr">
        <is>
          <t>Я внедрял этот API в день релиза — вот как он работает на практике</t>
        </is>
      </c>
      <c r="D73" s="274" t="inlineStr">
        <is>
          <t>Authority</t>
        </is>
      </c>
      <c r="E73" s="270" t="inlineStr">
        <is>
          <t>Техническая практика день-в-день как credential → демонстрация реальной интеграции → практический вывод</t>
        </is>
      </c>
      <c r="F73" s="270" t="inlineStr">
        <is>
          <t>Техническая глубина в день релиза резко повышает доверие разработчиков</t>
        </is>
      </c>
      <c r="G73" s="271" t="inlineStr">
        <is>
          <t>Высокие репосты в dev-сообщества, сохранения как техническая заметка</t>
        </is>
      </c>
    </row>
    <row r="74" ht="57.75" customHeight="1" s="145">
      <c r="A74" s="261" t="n">
        <v>67</v>
      </c>
      <c r="B74" s="262" t="inlineStr">
        <is>
          <t>Сравнение</t>
        </is>
      </c>
      <c r="C74" s="263" t="inlineStr">
        <is>
          <t>Юрист объясняет, что в лицензии AI-инструментов реально означает «коммерческое использование»</t>
        </is>
      </c>
      <c r="D74" s="274" t="inlineStr">
        <is>
          <t>Authority</t>
        </is>
      </c>
      <c r="E74" s="265" t="inlineStr">
        <is>
          <t>Юридическая экспертиза как credential для разбора мелкого шрифта → примеры формулировок → практический вывод</t>
        </is>
      </c>
      <c r="F74" s="265" t="inlineStr">
        <is>
          <t>Редкая юридическая ниша резко повышает доверие и шанс сохранения</t>
        </is>
      </c>
      <c r="G74" s="266" t="inlineStr">
        <is>
          <t>Высокие сохранения как справочный материал, репосты юридическим отделам</t>
        </is>
      </c>
    </row>
    <row r="75" ht="57.75" customHeight="1" s="145">
      <c r="A75" s="267" t="n">
        <v>68</v>
      </c>
      <c r="B75" s="268" t="inlineStr">
        <is>
          <t>Сравнение</t>
        </is>
      </c>
      <c r="C75" s="269" t="inlineStr">
        <is>
          <t>Сравнил ChatGPT и Claude в одном письме — разница в тоне шокировала. Сохрани — пригодится в понедельник</t>
        </is>
      </c>
      <c r="D75" s="275" t="inlineStr">
        <is>
          <t>Social Sharing</t>
        </is>
      </c>
      <c r="E75" s="270" t="inlineStr">
        <is>
          <t>Параллельная задача для обоих инструментов → явная разница в результате → CTA на сохранение под конкретный повод</t>
        </is>
      </c>
      <c r="F75" s="270" t="inlineStr">
        <is>
          <t>Прямой CTA с конкретным поводом сохранения резко повышает saves и sends</t>
        </is>
      </c>
      <c r="G75" s="271" t="inlineStr">
        <is>
          <t>Высокие сейвы и репосты в директ перед началом рабочей недели</t>
        </is>
      </c>
    </row>
    <row r="76" ht="57.75" customHeight="1" s="145">
      <c r="A76" s="261" t="n">
        <v>69</v>
      </c>
      <c r="B76" s="262" t="inlineStr">
        <is>
          <t>Туториал</t>
        </is>
      </c>
      <c r="C76" s="263" t="inlineStr">
        <is>
          <t>Перешли тому, кто до сих пор печатает письма с нуля</t>
        </is>
      </c>
      <c r="D76" s="275" t="inlineStr">
        <is>
          <t>Social Sharing</t>
        </is>
      </c>
      <c r="E76" s="265" t="inlineStr">
        <is>
          <t>Демонстрация AI-шаблона письма → явный адресат пересылки в подписи → конкретная экономия времени</t>
        </is>
      </c>
      <c r="F76" s="265" t="inlineStr">
        <is>
          <t>Чёткий адресат снижает трение для решения поделиться</t>
        </is>
      </c>
      <c r="G76" s="266" t="inlineStr">
        <is>
          <t>Высокий sends per reach, комментарии с тегами коллег</t>
        </is>
      </c>
    </row>
    <row r="77" ht="57.75" customHeight="1" s="145">
      <c r="A77" s="267" t="n">
        <v>70</v>
      </c>
      <c r="B77" s="268" t="inlineStr">
        <is>
          <t>Продуктивность</t>
        </is>
      </c>
      <c r="C77" s="269" t="inlineStr">
        <is>
          <t>3 AI-инструмента, которые твоя команда ещё не знает</t>
        </is>
      </c>
      <c r="D77" s="275" t="inlineStr">
        <is>
          <t>Social Sharing</t>
        </is>
      </c>
      <c r="E77" s="270" t="inlineStr">
        <is>
          <t>Listicle-формат с конкретными названиями → демонстрация каждого за 5–7 секунд → итоговая карточка со списком</t>
        </is>
      </c>
      <c r="F77" s="270" t="inlineStr">
        <is>
          <t>Listicle-формат изначально оптимизирован под пересылку команде или начальнику</t>
        </is>
      </c>
      <c r="G77" s="271" t="inlineStr">
        <is>
          <t>Высокие сейвы, репосты в рабочие чаты целиком</t>
        </is>
      </c>
    </row>
    <row r="78" ht="57.75" customHeight="1" s="145">
      <c r="A78" s="261" t="n">
        <v>71</v>
      </c>
      <c r="B78" s="262" t="inlineStr">
        <is>
          <t>Шоукейс</t>
        </is>
      </c>
      <c r="C78" s="263" t="inlineStr">
        <is>
          <t>Это нужно показать дизайнеру в твоей команде прямо сейчас</t>
        </is>
      </c>
      <c r="D78" s="275" t="inlineStr">
        <is>
          <t>Social Sharing</t>
        </is>
      </c>
      <c r="E78" s="265" t="inlineStr">
        <is>
          <t>Wow-результат AI-генерации → явный адресат «дизайнеру в команде» → CTA переслать</t>
        </is>
      </c>
      <c r="F78" s="265" t="inlineStr">
        <is>
          <t>Узкий целевой адресат повышает релевантность пересылки</t>
        </is>
      </c>
      <c r="G78" s="266" t="inlineStr">
        <is>
          <t>Высокие репосты в директ конкретным профессиям</t>
        </is>
      </c>
    </row>
    <row r="79" ht="57.75" customHeight="1" s="145">
      <c r="A79" s="267" t="n">
        <v>72</v>
      </c>
      <c r="B79" s="268" t="inlineStr">
        <is>
          <t>Сравнение</t>
        </is>
      </c>
      <c r="C79" s="269" t="inlineStr">
        <is>
          <t>Какой AI-инструмент выбрала бы твоя команда — голосуй в комментариях</t>
        </is>
      </c>
      <c r="D79" s="275" t="inlineStr">
        <is>
          <t>Social Sharing</t>
        </is>
      </c>
      <c r="E79" s="270" t="inlineStr">
        <is>
          <t>Сравнение двух вариантов без явного вывода → призыв голосовать → ответ автора в комментариях позже</t>
        </is>
      </c>
      <c r="F79" s="270" t="inlineStr">
        <is>
          <t>Открытый вопрос провоцирует комментарии и обсуждение в обоих лагерях</t>
        </is>
      </c>
      <c r="G79" s="271" t="inlineStr">
        <is>
          <t>Высокая комментарийная активность, рост охвата через дискуссию</t>
        </is>
      </c>
    </row>
    <row r="80" ht="57.75" customHeight="1" s="145">
      <c r="A80" s="261" t="n">
        <v>73</v>
      </c>
      <c r="B80" s="262" t="inlineStr">
        <is>
          <t>Юмор</t>
        </is>
      </c>
      <c r="C80" s="263" t="inlineStr">
        <is>
          <t>Отправь это тому, кто всё ещё спорит, что AI бесполезен</t>
        </is>
      </c>
      <c r="D80" s="275" t="inlineStr">
        <is>
          <t>Social Sharing</t>
        </is>
      </c>
      <c r="E80" s="265" t="inlineStr">
        <is>
          <t>Юмористический контраст ожидание/реальность → явный адресат-скептик → ирония в payoff</t>
        </is>
      </c>
      <c r="F80" s="265" t="inlineStr">
        <is>
          <t>Провокационный адресат создаёт повод для дружеского спора в личке</t>
        </is>
      </c>
      <c r="G80" s="266" t="inlineStr">
        <is>
          <t>Высокие репосты как повод для шутливого спора с конкретным человеком</t>
        </is>
      </c>
    </row>
    <row r="81" ht="57.75" customHeight="1" s="145">
      <c r="A81" s="267" t="n">
        <v>74</v>
      </c>
      <c r="B81" s="268" t="inlineStr">
        <is>
          <t>Продуктивность</t>
        </is>
      </c>
      <c r="C81" s="269" t="inlineStr">
        <is>
          <t>Сохрани это до следующего дедлайна — пригодится</t>
        </is>
      </c>
      <c r="D81" s="275" t="inlineStr">
        <is>
          <t>Social Sharing</t>
        </is>
      </c>
      <c r="E81" s="270" t="inlineStr">
        <is>
          <t>Конкретный AI-приём под цейтнот → явная привязка к будущей ситуации → CTA на сохранение</t>
        </is>
      </c>
      <c r="F81" s="270" t="inlineStr">
        <is>
          <t>Привязка к будущему событию создаёт надёжный отложенный повод вернуться</t>
        </is>
      </c>
      <c r="G81" s="271" t="inlineStr">
        <is>
          <t>Высокие сейвы с долгим временем удержания (return visits)</t>
        </is>
      </c>
    </row>
    <row r="82" ht="57.75" customHeight="1" s="145">
      <c r="A82" s="261" t="n">
        <v>75</v>
      </c>
      <c r="B82" s="262" t="inlineStr">
        <is>
          <t>AI для бизнеса</t>
        </is>
      </c>
      <c r="C82" s="263" t="inlineStr">
        <is>
          <t>Покажи это своему руководителю — это сэкономит бюджет команды</t>
        </is>
      </c>
      <c r="D82" s="275" t="inlineStr">
        <is>
          <t>Social Sharing</t>
        </is>
      </c>
      <c r="E82" s="265" t="inlineStr">
        <is>
          <t>Конкретный кейс экономии → явный адресат (руководитель) → измеримая выгода в payoff</t>
        </is>
      </c>
      <c r="F82" s="265" t="inlineStr">
        <is>
          <t>Прямая финансовая выгода для адресата снижает трение для пересылки наверх</t>
        </is>
      </c>
      <c r="G82" s="266" t="inlineStr">
        <is>
          <t>Высокие репосты внутри корпоративных чатов, сохранения для встреч</t>
        </is>
      </c>
    </row>
    <row r="83" ht="57.75" customHeight="1" s="145">
      <c r="A83" s="267" t="n">
        <v>76</v>
      </c>
      <c r="B83" s="268" t="inlineStr">
        <is>
          <t>Сравнение</t>
        </is>
      </c>
      <c r="C83" s="269" t="inlineStr">
        <is>
          <t>5 AI-инструментов одной картинкой — сохрани как шпаргалку</t>
        </is>
      </c>
      <c r="D83" s="275" t="inlineStr">
        <is>
          <t>Social Sharing</t>
        </is>
      </c>
      <c r="E83" s="270" t="inlineStr">
        <is>
          <t>Инфографика-сводка в одном кадре → краткое объяснение каждого пункта → явный CTA «сохрани как шпаргалку»</t>
        </is>
      </c>
      <c r="F83" s="270" t="inlineStr">
        <is>
          <t>Формат «шпаргалка» специально оптимизирован под высокую долю сохранений</t>
        </is>
      </c>
      <c r="G83" s="271" t="inlineStr">
        <is>
          <t>Очень высокие сейвы, относительно низкие лайки — характерный паттерн референсного контента</t>
        </is>
      </c>
    </row>
    <row r="84" ht="57.75" customHeight="1" s="145">
      <c r="A84" s="261" t="n">
        <v>77</v>
      </c>
      <c r="B84" s="262" t="inlineStr">
        <is>
          <t>Туториал</t>
        </is>
      </c>
      <c r="C84" s="263" t="inlineStr">
        <is>
          <t>Скинь другу-фрилансеру — это изменит его расчёт времени</t>
        </is>
      </c>
      <c r="D84" s="275" t="inlineStr">
        <is>
          <t>Social Sharing</t>
        </is>
      </c>
      <c r="E84" s="265" t="inlineStr">
        <is>
          <t>AI-приём для тайм-трекинга → явный адресат-фрилансер → конкретная цифра сэкономленных часов</t>
        </is>
      </c>
      <c r="F84" s="265" t="inlineStr">
        <is>
          <t>Узкая профессиональная аудитория с чётким адресатом повышает релевантность пересылки</t>
        </is>
      </c>
      <c r="G84" s="266" t="inlineStr">
        <is>
          <t>Высокие репосты во фриланс-сообщества</t>
        </is>
      </c>
    </row>
    <row r="85" ht="57.75" customHeight="1" s="145">
      <c r="A85" s="267" t="n">
        <v>78</v>
      </c>
      <c r="B85" s="268" t="inlineStr">
        <is>
          <t>AI-новости</t>
        </is>
      </c>
      <c r="C85" s="269" t="inlineStr">
        <is>
          <t>Перешли тому, кто пропустил этот релиз — он важный</t>
        </is>
      </c>
      <c r="D85" s="275" t="inlineStr">
        <is>
          <t>Social Sharing</t>
        </is>
      </c>
      <c r="E85" s="270" t="inlineStr">
        <is>
          <t>Сжатая новость с конкретной деталью → явный адресат «кто пропустил» → CTA переслать</t>
        </is>
      </c>
      <c r="F85" s="270" t="inlineStr">
        <is>
          <t>Роль «быть первым, кто сообщил новость другу» — сильный мотиватор пересылки</t>
        </is>
      </c>
      <c r="G85" s="271" t="inlineStr">
        <is>
          <t>Высокие репосты сразу после публикации, пик в первые 2 часа</t>
        </is>
      </c>
    </row>
    <row r="86" ht="57.75" customHeight="1" s="145">
      <c r="A86" s="261" t="n">
        <v>79</v>
      </c>
      <c r="B86" s="262" t="inlineStr">
        <is>
          <t>Шоукейс</t>
        </is>
      </c>
      <c r="C86" s="263" t="inlineStr">
        <is>
          <t>Тегни того, кому нужно это увидеть для вдохновения</t>
        </is>
      </c>
      <c r="D86" s="275" t="inlineStr">
        <is>
          <t>Social Sharing</t>
        </is>
      </c>
      <c r="E86" s="265" t="inlineStr">
        <is>
          <t>Впечатляющий AI-результат → явный призыв тегнуть → открытый комментарий для тегов</t>
        </is>
      </c>
      <c r="F86" s="265" t="inlineStr">
        <is>
          <t>Прямой призыв к тегу создаёт публичный, видимый sharing-сигнал</t>
        </is>
      </c>
      <c r="G86" s="266" t="inlineStr">
        <is>
          <t>Высокая комментарийная активность с тегами, вторичный охват через тегнутых</t>
        </is>
      </c>
    </row>
    <row r="87" ht="57.75" customHeight="1" s="145">
      <c r="A87" s="267" t="n">
        <v>80</v>
      </c>
      <c r="B87" s="268" t="inlineStr">
        <is>
          <t>Продуктивность</t>
        </is>
      </c>
      <c r="C87" s="269" t="inlineStr">
        <is>
          <t>Это для группового чата с командой — отправь не глядя</t>
        </is>
      </c>
      <c r="D87" s="275" t="inlineStr">
        <is>
          <t>Social Sharing</t>
        </is>
      </c>
      <c r="E87" s="270" t="inlineStr">
        <is>
          <t>Универсальный AI-лайфхак, подходящий любой команде → призыв «отправь не глядя» → минимум объяснений</t>
        </is>
      </c>
      <c r="F87" s="270" t="inlineStr">
        <is>
          <t>Сниженный порог решения увеличивает импульсивные репосты</t>
        </is>
      </c>
      <c r="G87" s="271" t="inlineStr">
        <is>
          <t>Высокий sends per reach в первые часы после публикации</t>
        </is>
      </c>
    </row>
    <row r="88" ht="57.75" customHeight="1" s="145">
      <c r="A88" s="261" t="n">
        <v>81</v>
      </c>
      <c r="B88" s="262" t="inlineStr">
        <is>
          <t>Сравнение</t>
        </is>
      </c>
      <c r="C88" s="263" t="inlineStr">
        <is>
          <t>Спор в комментариях: какой AI отвечает честнее на сложные вопросы</t>
        </is>
      </c>
      <c r="D88" s="275" t="inlineStr">
        <is>
          <t>Social Sharing</t>
        </is>
      </c>
      <c r="E88" s="265" t="inlineStr">
        <is>
          <t>Провокационное сравнение ответов на спорный вопрос → приглашение к дискуссии → автор не даёт финальный вердикт</t>
        </is>
      </c>
      <c r="F88" s="265" t="inlineStr">
        <is>
          <t>Намеренно открытый спор без вердикта продлевает обсуждение и органический охват</t>
        </is>
      </c>
      <c r="G88" s="266" t="inlineStr">
        <is>
          <t>Очень высокая комментарийная активность, длинные треды</t>
        </is>
      </c>
    </row>
    <row r="89" ht="57.75" customHeight="1" s="145">
      <c r="A89" s="267" t="n">
        <v>82</v>
      </c>
      <c r="B89" s="268" t="inlineStr">
        <is>
          <t>Юмор</t>
        </is>
      </c>
      <c r="C89" s="269" t="inlineStr">
        <is>
          <t>Если ты понял этот мем про AI — ты в теме</t>
        </is>
      </c>
      <c r="D89" s="275" t="inlineStr">
        <is>
          <t>Social Sharing</t>
        </is>
      </c>
      <c r="E89" s="270" t="inlineStr">
        <is>
          <t>Нишевый юмор, понятный только активным пользователям AI-инструментов → визуальная шутка → CTA тегнуть «своих»</t>
        </is>
      </c>
      <c r="F89" s="270" t="inlineStr">
        <is>
          <t>Инсайдерский юмор создаёт эффект эксклюзивного клуба, который хочется показать «своим»</t>
        </is>
      </c>
      <c r="G89" s="271" t="inlineStr">
        <is>
          <t>Высокие репосты внутри нишевых комьюнити-чатов</t>
        </is>
      </c>
    </row>
    <row r="90" ht="57.75" customHeight="1" s="145">
      <c r="A90" s="261" t="n">
        <v>83</v>
      </c>
      <c r="B90" s="262" t="inlineStr">
        <is>
          <t>AI для бизнеса</t>
        </is>
      </c>
      <c r="C90" s="263" t="inlineStr">
        <is>
          <t>Отправь в чат основателей — редкий честный разбор AI-инструментов для бизнеса</t>
        </is>
      </c>
      <c r="D90" s="275" t="inlineStr">
        <is>
          <t>Social Sharing</t>
        </is>
      </c>
      <c r="E90" s="265" t="inlineStr">
        <is>
          <t>Развёрнутый честный разбор без рекламной подачи → явный адресат (чат основателей) → конкретные выводы</t>
        </is>
      </c>
      <c r="F90" s="265" t="inlineStr">
        <is>
          <t>Адресность к узкой профессиональной группе повышает релевантность шеринга</t>
        </is>
      </c>
      <c r="G90" s="266" t="inlineStr">
        <is>
          <t>Высокие репосты в закрытые бизнес-чаты, сохранения как референс</t>
        </is>
      </c>
    </row>
    <row r="91" ht="57.75" customHeight="1" s="145">
      <c r="A91" s="267" t="n">
        <v>84</v>
      </c>
      <c r="B91" s="268" t="inlineStr">
        <is>
          <t>Промо</t>
        </is>
      </c>
      <c r="C91" s="269" t="inlineStr">
        <is>
          <t>Если знаешь того, кому пора сменить профессию — это видео для него</t>
        </is>
      </c>
      <c r="D91" s="275" t="inlineStr">
        <is>
          <t>Social Sharing</t>
        </is>
      </c>
      <c r="E91" s="270" t="inlineStr">
        <is>
          <t>История трансформации через продукт → явный адресат «тому, кому пора» → CTA переслать с приглашением</t>
        </is>
      </c>
      <c r="F91" s="270" t="inlineStr">
        <is>
          <t>Эмоционально значимый адресат — сильный повод для личной, осмысленной пересылки</t>
        </is>
      </c>
      <c r="G91" s="271" t="inlineStr">
        <is>
          <t>Высокие конверсионные переходы по ссылке от пересланных контактов</t>
        </is>
      </c>
    </row>
    <row r="92" ht="57.75" customHeight="1" s="145">
      <c r="A92" s="261" t="n">
        <v>85</v>
      </c>
      <c r="B92" s="262" t="inlineStr">
        <is>
          <t>История</t>
        </is>
      </c>
      <c r="C92" s="263" t="inlineStr">
        <is>
          <t>Чуть не сорвал дедлайн — нашёл это в 11 вечера</t>
        </is>
      </c>
      <c r="D92" s="276" t="inlineStr">
        <is>
          <t>Storytelling</t>
        </is>
      </c>
      <c r="E92" s="265" t="inlineStr">
        <is>
          <t>Hook: тревожная завязка → Problem: отчёт на 6 часов работы → Story: поиск решения ночью → Resolution: закрыл за 12 минут, показано как именно</t>
        </is>
      </c>
      <c r="F92" s="265" t="inlineStr">
        <is>
          <t>Завершённая личная история с конкретным числом вызывает эмпатию и желание поделиться «со мной было так же»</t>
        </is>
      </c>
      <c r="G92" s="266" t="inlineStr">
        <is>
          <t>Высокий completion rate, эмоциональные комментарии с похожими историями</t>
        </is>
      </c>
    </row>
    <row r="93" ht="57.75" customHeight="1" s="145">
      <c r="A93" s="267" t="n">
        <v>86</v>
      </c>
      <c r="B93" s="268" t="inlineStr">
        <is>
          <t>Туториал</t>
        </is>
      </c>
      <c r="C93" s="269" t="inlineStr">
        <is>
          <t>Меня чуть не уволили за опоздавший отчёт — а потом я нашёл способ его не бояться</t>
        </is>
      </c>
      <c r="D93" s="276" t="inlineStr">
        <is>
          <t>Storytelling</t>
        </is>
      </c>
      <c r="E93" s="270" t="inlineStr">
        <is>
          <t>Hook: личный провал → Problem: повторяющаяся проблема со временем → Story: неудачные попытки решений → Resolution: финальный AI-приём и итог</t>
        </is>
      </c>
      <c r="F93" s="270" t="inlineStr">
        <is>
          <t>Уязвимая личная история создаёт сильную эмоциональную связь со зрителем</t>
        </is>
      </c>
      <c r="G93" s="271" t="inlineStr">
        <is>
          <t>Высокие репосты с личными комментариями о похожем опыте</t>
        </is>
      </c>
    </row>
    <row r="94" ht="57.75" customHeight="1" s="145">
      <c r="A94" s="261" t="n">
        <v>87</v>
      </c>
      <c r="B94" s="262" t="inlineStr">
        <is>
          <t>AI для бизнеса</t>
        </is>
      </c>
      <c r="C94" s="263" t="inlineStr">
        <is>
          <t>Мы чуть не потеряли клиента из-за медленного ответа — вот что изменило всё</t>
        </is>
      </c>
      <c r="D94" s="276" t="inlineStr">
        <is>
          <t>Storytelling</t>
        </is>
      </c>
      <c r="E94" s="265" t="inlineStr">
        <is>
          <t>Hook: бизнес-кризис → Problem: медленная коммуникация с клиентом → Story: внедрение AI-ассистента под давлением сроков → Resolution: клиент остался, цифры ответа</t>
        </is>
      </c>
      <c r="F94" s="265" t="inlineStr">
        <is>
          <t>Бизнес-история с реальной ставкой резонирует с предпринимательской аудиторией</t>
        </is>
      </c>
      <c r="G94" s="266" t="inlineStr">
        <is>
          <t>Высокие сохранения как кейс для собственной команды</t>
        </is>
      </c>
    </row>
    <row r="95" ht="57.75" customHeight="1" s="145">
      <c r="A95" s="267" t="n">
        <v>88</v>
      </c>
      <c r="B95" s="268" t="inlineStr">
        <is>
          <t>Шоукейс</t>
        </is>
      </c>
      <c r="C95" s="269" t="inlineStr">
        <is>
          <t>Я не верил, что AI нарисует то, что у меня в голове — пока не увидел это</t>
        </is>
      </c>
      <c r="D95" s="276" t="inlineStr">
        <is>
          <t>Storytelling</t>
        </is>
      </c>
      <c r="E95" s="270" t="inlineStr">
        <is>
          <t>Hook: скепсис как завязка → Problem: трудно объяснить идею художнику → Story: промптинг с правками → Resolution: финальное изображение, совпавшее с задумкой</t>
        </is>
      </c>
      <c r="F95" s="270" t="inlineStr">
        <is>
          <t>Дуга «от скепсиса к удивлению» вызывает желание показать другим доказательство</t>
        </is>
      </c>
      <c r="G95" s="271" t="inlineStr">
        <is>
          <t>Высокий completion rate, комментарии с собственными попытками повторить</t>
        </is>
      </c>
    </row>
    <row r="96" ht="57.75" customHeight="1" s="145">
      <c r="A96" s="261" t="n">
        <v>89</v>
      </c>
      <c r="B96" s="262" t="inlineStr">
        <is>
          <t>Продуктивность</t>
        </is>
      </c>
      <c r="C96" s="263" t="inlineStr">
        <is>
          <t>Я работал по выходным три месяца подряд — потом изменил один процесс</t>
        </is>
      </c>
      <c r="D96" s="276" t="inlineStr">
        <is>
          <t>Storytelling</t>
        </is>
      </c>
      <c r="E96" s="265" t="inlineStr">
        <is>
          <t>Hook: усталость как завязка → Problem: переработки выходного дня → Story: AI-автоматизация рутинных задач → Resolution: первые свободные выходные, конкретный эффект</t>
        </is>
      </c>
      <c r="F96" s="265" t="inlineStr">
        <is>
          <t>История про выгорание и восстановление баланса находит широкий эмоциональный отклик</t>
        </is>
      </c>
      <c r="G96" s="266" t="inlineStr">
        <is>
          <t>Высокие репосты близким с личными комментариями</t>
        </is>
      </c>
    </row>
    <row r="97" ht="57.75" customHeight="1" s="145">
      <c r="A97" s="267" t="n">
        <v>90</v>
      </c>
      <c r="B97" s="268" t="inlineStr">
        <is>
          <t>Юмор</t>
        </is>
      </c>
      <c r="C97" s="269" t="inlineStr">
        <is>
          <t>Доверил AI ответить клиенту вместо меня — вот что произошло</t>
        </is>
      </c>
      <c r="D97" s="276" t="inlineStr">
        <is>
          <t>Storytelling</t>
        </is>
      </c>
      <c r="E97" s="270" t="inlineStr">
        <is>
          <t>Hook: рискованное решение → Problem: усталость отвечать однотипно → Story: AI отвечает, начинаются неожиданности → Resolution: комедийная развязка с выводом</t>
        </is>
      </c>
      <c r="F97" s="270" t="inlineStr">
        <is>
          <t>Комедийная история с риском и неожиданной развязкой — формат для пересылки «ты не поверишь»</t>
        </is>
      </c>
      <c r="G97" s="271" t="inlineStr">
        <is>
          <t>Высокие репосты с подписью «вот это поворот»</t>
        </is>
      </c>
    </row>
    <row r="98" ht="57.75" customHeight="1" s="145">
      <c r="A98" s="261" t="n">
        <v>91</v>
      </c>
      <c r="B98" s="262" t="inlineStr">
        <is>
          <t>Туториал</t>
        </is>
      </c>
      <c r="C98" s="263" t="inlineStr">
        <is>
          <t>Полгода училась монтажу руками — а потом узнала про эту функцию</t>
        </is>
      </c>
      <c r="D98" s="276" t="inlineStr">
        <is>
          <t>Storytelling</t>
        </is>
      </c>
      <c r="E98" s="265" t="inlineStr">
        <is>
          <t>Hook: долгий путь вручную как завязка → Problem: время на ручной монтаж → Story: случайное открытие AI-функции → Resolution: сравнение времени до/после</t>
        </is>
      </c>
      <c r="F98" s="265" t="inlineStr">
        <is>
          <t>История «зря потраченного времени» резонирует с теми, кто сейчас делает так же</t>
        </is>
      </c>
      <c r="G98" s="266" t="inlineStr">
        <is>
          <t>Высокие сохранения, комментарии «а я только что узнал(а)»</t>
        </is>
      </c>
    </row>
    <row r="99" ht="57.75" customHeight="1" s="145">
      <c r="A99" s="267" t="n">
        <v>92</v>
      </c>
      <c r="B99" s="268" t="inlineStr">
        <is>
          <t>AI-новости</t>
        </is>
      </c>
      <c r="C99" s="269" t="inlineStr">
        <is>
          <t>Я был скептиком насчёт этого обновления — пока не протестировал его на реальном проекте</t>
        </is>
      </c>
      <c r="D99" s="276" t="inlineStr">
        <is>
          <t>Storytelling</t>
        </is>
      </c>
      <c r="E99" s="270" t="inlineStr">
        <is>
          <t>Hook: публичный скепсис как завязка → Problem: ожидание разочарования от хайпа → Story: тест на реальной задаче → Resolution: честный вывод, изменивший мнение</t>
        </is>
      </c>
      <c r="F99" s="270" t="inlineStr">
        <is>
          <t>Дуга «от скепсиса к признанию» воспринимается честнее безусловного хайпа, повышая доверие к шерингу</t>
        </is>
      </c>
      <c r="G99" s="271" t="inlineStr">
        <is>
          <t>Высокие сохранения, доверительные комментарии</t>
        </is>
      </c>
    </row>
    <row r="100" ht="57.75" customHeight="1" s="145">
      <c r="A100" s="261" t="n">
        <v>93</v>
      </c>
      <c r="B100" s="262" t="inlineStr">
        <is>
          <t>Шоукейс</t>
        </is>
      </c>
      <c r="C100" s="263" t="inlineStr">
        <is>
          <t>Клиент попросил невозможное — у меня было 2 часа на это</t>
        </is>
      </c>
      <c r="D100" s="276" t="inlineStr">
        <is>
          <t>Storytelling</t>
        </is>
      </c>
      <c r="E100" s="265" t="inlineStr">
        <is>
          <t>Hook: давление времени как завязка → Problem: невыполнимый на первый взгляд запрос → Story: AI-инструменты под дедлайном → Resolution: сданная работа, реакция клиента</t>
        </is>
      </c>
      <c r="F100" s="265" t="inlineStr">
        <is>
          <t>История «под давлением» с конкретными ставками держит внимание через нарастающее напряжение</t>
        </is>
      </c>
      <c r="G100" s="266" t="inlineStr">
        <is>
          <t>Высокий completion rate, комментарии с похожими рабочими историями</t>
        </is>
      </c>
    </row>
    <row r="101" ht="57.75" customHeight="1" s="145">
      <c r="A101" s="267" t="n">
        <v>94</v>
      </c>
      <c r="B101" s="268" t="inlineStr">
        <is>
          <t>Продуктивность</t>
        </is>
      </c>
      <c r="C101" s="269" t="inlineStr">
        <is>
          <t>У меня было 47 непрочитанных писем каждое утро — пока я не сделал одно</t>
        </is>
      </c>
      <c r="D101" s="276" t="inlineStr">
        <is>
          <t>Storytelling</t>
        </is>
      </c>
      <c r="E101" s="270" t="inlineStr">
        <is>
          <t>Hook: конкретная цифра боли как завязка → Problem: накопление и стресс от почты → Story: настройка AI-сортировки писем → Resolution: новое утро с конкретным числом писем</t>
        </is>
      </c>
      <c r="F101" s="270" t="inlineStr">
        <is>
          <t>Конкретные узнаваемые цифры делают историю максимально относимой к опыту зрителя</t>
        </is>
      </c>
      <c r="G101" s="271" t="inlineStr">
        <is>
          <t>Высокие репосты с подписью «это про меня»</t>
        </is>
      </c>
    </row>
    <row r="102" ht="57.75" customHeight="1" s="145">
      <c r="A102" s="261" t="n">
        <v>95</v>
      </c>
      <c r="B102" s="262" t="inlineStr">
        <is>
          <t>AI для бизнеса</t>
        </is>
      </c>
      <c r="C102" s="263" t="inlineStr">
        <is>
          <t>Стартап на грани закрытия — один процесс на AI всё изменил</t>
        </is>
      </c>
      <c r="D102" s="276" t="inlineStr">
        <is>
          <t>Storytelling</t>
        </is>
      </c>
      <c r="E102" s="265" t="inlineStr">
        <is>
          <t>Hook: драматичная завязка про выживание бизнеса → Problem: нехватка ресурсов на ручную работу → Story: автоматизация ключевого процесса → Resolution: бизнес выжил, цифры роста</t>
        </is>
      </c>
      <c r="F102" s="265" t="inlineStr">
        <is>
          <t>История выживания бизнеса с высокими ставками вызывает сильный эмоциональный отклик у предпринимателей</t>
        </is>
      </c>
      <c r="G102" s="266" t="inlineStr">
        <is>
          <t>Высокие сохранения, репосты в стартап-сообщества</t>
        </is>
      </c>
    </row>
    <row r="103" ht="57.75" customHeight="1" s="145">
      <c r="A103" s="267" t="n">
        <v>96</v>
      </c>
      <c r="B103" s="268" t="inlineStr">
        <is>
          <t>Туториал</t>
        </is>
      </c>
      <c r="C103" s="269" t="inlineStr">
        <is>
          <t>Меня высмеяли за вопрос на созвоне — теперь я готовлюсь иначе</t>
        </is>
      </c>
      <c r="D103" s="276" t="inlineStr">
        <is>
          <t>Storytelling</t>
        </is>
      </c>
      <c r="E103" s="270" t="inlineStr">
        <is>
          <t>Hook: неловкая личная ситуация как завязка → Problem: страх задать «глупый» вопрос неподготовленным → Story: подготовка к встречам с AI-инструментом → Resolution: уверенность на следующем созвоне</t>
        </is>
      </c>
      <c r="F103" s="270" t="inlineStr">
        <is>
          <t>Уязвимая социальная история вызывает сильную эмпатию и желание помочь другим избежать этого</t>
        </is>
      </c>
      <c r="G103" s="271" t="inlineStr">
        <is>
          <t>Высокие репосты коллегам перед важными встречами</t>
        </is>
      </c>
    </row>
    <row r="104" ht="57.75" customHeight="1" s="145">
      <c r="A104" s="261" t="n">
        <v>97</v>
      </c>
      <c r="B104" s="262" t="inlineStr">
        <is>
          <t>Сравнение</t>
        </is>
      </c>
      <c r="C104" s="263" t="inlineStr">
        <is>
          <t>Я потратил $200 на неправильный инструмент, прежде чем нашёл этот</t>
        </is>
      </c>
      <c r="D104" s="276" t="inlineStr">
        <is>
          <t>Storytelling</t>
        </is>
      </c>
      <c r="E104" s="265" t="inlineStr">
        <is>
          <t>Hook: финансовая ошибка как завязка → Problem: разочарование в первой покупке → Story: поиск альтернативы методом проб → Resolution: более дешёвое и эффективное решение</t>
        </is>
      </c>
      <c r="F104" s="265" t="inlineStr">
        <is>
          <t>История о финансовой ошибке и её исправлении экономит деньги зрителю — сильный повод поделиться</t>
        </is>
      </c>
      <c r="G104" s="266" t="inlineStr">
        <is>
          <t>Высокие сохранения, комментарии с собственным опытом трат</t>
        </is>
      </c>
    </row>
    <row r="105" ht="57.75" customHeight="1" s="145">
      <c r="A105" s="267" t="n">
        <v>98</v>
      </c>
      <c r="B105" s="268" t="inlineStr">
        <is>
          <t>Юмор</t>
        </is>
      </c>
      <c r="C105" s="269" t="inlineStr">
        <is>
          <t>Попросил AI написать письмо боссу — отправил не читая</t>
        </is>
      </c>
      <c r="D105" s="276" t="inlineStr">
        <is>
          <t>Storytelling</t>
        </is>
      </c>
      <c r="E105" s="270" t="inlineStr">
        <is>
          <t>Hook: рискованное решение как завязка → Problem: лень/спешка → Story: что было в письме на самом деле → Resolution: комедийная развязка с выводом «всегда проверяй»</t>
        </is>
      </c>
      <c r="F105" s="270" t="inlineStr">
        <is>
          <t>Комедийная история про реальный риск с относимой ошибкой — формат для пересылки «у меня чуть так не было»</t>
        </is>
      </c>
      <c r="G105" s="271" t="inlineStr">
        <is>
          <t>Высокие репосты с шутливыми комментариями о похожих рисках</t>
        </is>
      </c>
    </row>
    <row r="106" ht="57.75" customHeight="1" s="145">
      <c r="A106" s="261" t="n">
        <v>99</v>
      </c>
      <c r="B106" s="262" t="inlineStr">
        <is>
          <t>Продуктивность</t>
        </is>
      </c>
      <c r="C106" s="263" t="inlineStr">
        <is>
          <t>Я говорила «у меня нет на это времени» полгода — потом нашла 2 часа в день</t>
        </is>
      </c>
      <c r="D106" s="276" t="inlineStr">
        <is>
          <t>Storytelling</t>
        </is>
      </c>
      <c r="E106" s="265" t="inlineStr">
        <is>
          <t>Hook: повторяющаяся отговорка как завязка → Problem: ощущение нехватки времени → Story: AI-аудит собственного расписания → Resolution: конкретные найденные 2 часа</t>
        </is>
      </c>
      <c r="F106" s="265" t="inlineStr">
        <is>
          <t>История самопознания через данные резонирует с широкой аудиторией перегруженных людей</t>
        </is>
      </c>
      <c r="G106" s="266" t="inlineStr">
        <is>
          <t>Высокие сохранения, репосты с личными признаниями в комментариях</t>
        </is>
      </c>
    </row>
    <row r="107" ht="57.75" customHeight="1" s="145">
      <c r="A107" s="267" t="n">
        <v>100</v>
      </c>
      <c r="B107" s="268" t="inlineStr">
        <is>
          <t>Промо</t>
        </is>
      </c>
      <c r="C107" s="269" t="inlineStr">
        <is>
          <t>Год назад я не знала, что такое промпт — сегодня это моя профессия</t>
        </is>
      </c>
      <c r="D107" s="276" t="inlineStr">
        <is>
          <t>Storytelling</t>
        </is>
      </c>
      <c r="E107" s="270" t="inlineStr">
        <is>
          <t>Hook: контраст «было / стало» как завязка → Problem: страх начать с нуля → Story: путь обучения через продукт → Resolution: текущий профессиональный результат</t>
        </is>
      </c>
      <c r="F107" s="270" t="inlineStr">
        <is>
          <t>Трансформационная история «с нуля до результата» — мощный социальный proof для тех, кто сомневается</t>
        </is>
      </c>
      <c r="G107" s="271" t="inlineStr">
        <is>
          <t>Высокие переходы по ссылке от пересланных историй, комментарии «как начать»</t>
        </is>
      </c>
    </row>
  </sheetData>
  <mergeCells count="5">
    <mergeCell ref="A1:G1"/>
    <mergeCell ref="A3:G3"/>
    <mergeCell ref="A6:G6"/>
    <mergeCell ref="A2:G2"/>
    <mergeCell ref="A5:G5"/>
  </mergeCells>
  <printOptions horizontalCentered="0" verticalCentered="0" headings="0" gridLines="0" gridLinesSet="1"/>
  <pageMargins left="0.3" right="0.3" top="0.4" bottom="0.4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B3261E"/>
    <outlinePr summaryBelow="1" summaryRight="1"/>
    <pageSetUpPr fitToPage="1"/>
  </sheetPr>
  <dimension ref="A1:C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44" min="1" max="1"/>
    <col width="46" customWidth="1" style="144" min="2" max="2"/>
    <col width="30" customWidth="1" style="144" min="3" max="3"/>
  </cols>
  <sheetData>
    <row r="1" ht="19.5" customHeight="1" s="145">
      <c r="A1" s="277" t="inlineStr">
        <is>
          <t>ПРИЛОЖЕНИЕ · REALITY CHECK</t>
        </is>
      </c>
    </row>
    <row r="2" ht="36" customHeight="1" s="145">
      <c r="A2" s="147" t="inlineStr">
        <is>
          <t>🔬  ПОЧЕМУ AI-КОНТЕНТ МОЖЕТ ТЕРЯТЬ ОХВАТ В INSTAGRAM</t>
        </is>
      </c>
    </row>
    <row r="3" ht="30" customHeight="1" s="145">
      <c r="A3" s="148" t="inlineStr">
        <is>
          <t>Система производит объём — но объём без понимания ранжирования Instagram превращается в спам-паттерн, который алгоритм подавляет. Раздел основан на актуальных данных об алгоритме Reels 2026.</t>
        </is>
      </c>
    </row>
    <row r="4" ht="7.5" customHeight="1" s="145"/>
    <row r="5" ht="21.75" customHeight="1" s="145">
      <c r="A5" s="278" t="inlineStr">
        <is>
          <t xml:space="preserve">  А. ФАКТОРЫ, КОТОРЫЕ МОГУТ ЗАНИЖАТЬ ОХВАТ AI-КОНТЕНТА</t>
        </is>
      </c>
    </row>
    <row r="6" ht="21.75" customHeight="1" s="145">
      <c r="A6" s="156" t="inlineStr">
        <is>
          <t>Фактор</t>
        </is>
      </c>
      <c r="B6" s="156" t="inlineStr">
        <is>
          <t>Почему это риск для этой системы</t>
        </is>
      </c>
      <c r="C6" s="156" t="inlineStr">
        <is>
          <t>Уровень риска</t>
        </is>
      </c>
    </row>
    <row r="7" ht="63.75" customHeight="1" s="145">
      <c r="A7" s="279" t="inlineStr">
        <is>
          <t>Классификатор оригинальности (Originality Score, с окт. 2025)</t>
        </is>
      </c>
      <c r="B7" s="206" t="inlineStr">
        <is>
          <t>Шаблонный AI-контент с одинаковыми визуальными паттернами и войсовером на 15 аккаунтах одновременно статистически похож на репост/aggregator-паттерн. Аккаунты с 10+ репостами за 30 дней полностью исключаются из рекомендаций.</t>
        </is>
      </c>
      <c r="C7" s="280" t="inlineStr">
        <is>
          <t>Высокий</t>
        </is>
      </c>
    </row>
    <row r="8" ht="63.75" customHeight="1" s="145">
      <c r="A8" s="281" t="inlineStr">
        <is>
          <t>Скриншоты интерфейсов без трансформации</t>
        </is>
      </c>
      <c r="B8" s="209" t="inlineStr">
        <is>
          <t>Прямой скринкаст чужого приложения без монтажной обработки и личного комментария может читаться алгоритмом как контент «не с этой платформы», а не как оригинальная съёмка.</t>
        </is>
      </c>
      <c r="C8" s="282" t="inlineStr">
        <is>
          <t>Средний</t>
        </is>
      </c>
    </row>
    <row r="9" ht="63.75" customHeight="1" s="145">
      <c r="A9" s="279" t="inlineStr">
        <is>
          <t>AI-info / AI-creator лейблы на органике</t>
        </is>
      </c>
      <c r="B9" s="206" t="inlineStr">
        <is>
          <t>Instagram официально заявляет, что лейбл AI-info на отдельном посте не влияет на дистрибуцию органического контента. Риск реален в первую очередь для рекламного/спонсорского контента с реалистичным AI-голосом или сценами, оценёнными как вводящие в заблуждение — там зафиксированы падения охвата до ~80%.</t>
        </is>
      </c>
      <c r="C9" s="282" t="inlineStr">
        <is>
          <t>Средний</t>
        </is>
      </c>
    </row>
    <row r="10" ht="63.75" customHeight="1" s="145">
      <c r="A10" s="281" t="inlineStr">
        <is>
          <t>Однородный синтетический «акустический отпечаток»</t>
        </is>
      </c>
      <c r="B10" s="209" t="inlineStr">
        <is>
          <t>Полностью синтетический войсовер на всех 100 видео в день создаёт одинаковое звучание по всей экосистеме. Это не штрафуется алгоритмом напрямую, но снижает ощущение «живого автора» у зрителя и может снижать completion rate, который Instagram использует как ключевой сигнал ранжирования.</t>
        </is>
      </c>
      <c r="C10" s="282" t="inlineStr">
        <is>
          <t>Средний</t>
        </is>
      </c>
    </row>
    <row r="11" ht="63.75" customHeight="1" s="145">
      <c r="A11" s="279" t="inlineStr">
        <is>
          <t>Объём публикаций без пропорционального роста engagement</t>
        </is>
      </c>
      <c r="B11" s="206" t="inlineStr">
        <is>
          <t>Алгоритм сравнивает baseline-engagement аккаунта с историей. Постинг ради количества без роста вовлечённости размывает средний engagement и наказывается понижением охвата — «два сильных поста в неделю лучше семи посредственных».</t>
        </is>
      </c>
      <c r="C11" s="280" t="inlineStr">
        <is>
          <t>Высокий</t>
        </is>
      </c>
    </row>
    <row r="12" ht="63.75" customHeight="1" s="145">
      <c r="A12" s="281" t="inlineStr">
        <is>
          <t>EU AI Act, Статья 50 (обязательна с 2 авг. 2026)</t>
        </is>
      </c>
      <c r="B12" s="209" t="inlineStr">
        <is>
          <t>В ЕС AI-контент без существенной человеческой редактуры подлежит обязательной маркировке. Контент, прошедший человеческое редактирование/ответственность, освобождён от требования — это прямой аргумент в пользу QC-шлюза на этапе 7 пайплайна (см. 05 Pipeline).</t>
        </is>
      </c>
      <c r="C12" s="283" t="inlineStr">
        <is>
          <t>Низкий</t>
        </is>
      </c>
    </row>
    <row r="14" ht="21.75" customHeight="1" s="145">
      <c r="A14" s="169" t="inlineStr">
        <is>
          <t xml:space="preserve">  Б. ЧТО РЕАЛЬНО ВЛИЯЕТ НА ОХВАТ В 2026</t>
        </is>
      </c>
    </row>
    <row r="15" ht="21.75" customHeight="1" s="145">
      <c r="A15" s="156" t="inlineStr">
        <is>
          <t>Сигнал ранжирования</t>
        </is>
      </c>
      <c r="B15" s="156" t="inlineStr">
        <is>
          <t>Что это значит на практике</t>
        </is>
      </c>
      <c r="C15" s="156" t="inlineStr">
        <is>
          <t>Вес</t>
        </is>
      </c>
    </row>
    <row r="16" ht="45.75" customHeight="1" s="145">
      <c r="A16" s="223" t="inlineStr">
        <is>
          <t>Watch time / completion rate</t>
        </is>
      </c>
      <c r="B16" s="206" t="inlineStr">
        <is>
          <t>Подтверждено Instagram как фактор №1. Короткие, плотные ролики с удержанием первых 3 секунд важнее количества лайков.</t>
        </is>
      </c>
      <c r="C16" s="284" t="inlineStr">
        <is>
          <t>Критический</t>
        </is>
      </c>
    </row>
    <row r="17" ht="45.75" customHeight="1" s="145">
      <c r="A17" s="225" t="inlineStr">
        <is>
          <t>Sends per reach (репосты в директ)</t>
        </is>
      </c>
      <c r="B17" s="209" t="inlineStr">
        <is>
          <t>Вес в 3–5 раз выше обычных лайков для охвата за пределами подписчиков — главный множитель холодного охвата.</t>
        </is>
      </c>
      <c r="C17" s="284" t="inlineStr">
        <is>
          <t>Критический</t>
        </is>
      </c>
    </row>
    <row r="18" ht="45.75" customHeight="1" s="145">
      <c r="A18" s="223" t="inlineStr">
        <is>
          <t>Saves (сохранения)</t>
        </is>
      </c>
      <c r="B18" s="206" t="inlineStr">
        <is>
          <t>Сигнал долгосрочной ценности, особенно для образовательного и референсного контента — то есть для туториалов.</t>
        </is>
      </c>
      <c r="C18" s="283" t="inlineStr">
        <is>
          <t>Высокий</t>
        </is>
      </c>
    </row>
    <row r="19" ht="45.75" customHeight="1" s="145">
      <c r="A19" s="225" t="inlineStr">
        <is>
          <t>Глубина комментариев</t>
        </is>
      </c>
      <c r="B19" s="209" t="inlineStr">
        <is>
          <t>Длина и осмысленность диалога важнее количества; ответ в первые 30 минут — отдельный сигнал ранжирования.</t>
        </is>
      </c>
      <c r="C19" s="283" t="inlineStr">
        <is>
          <t>Высокий</t>
        </is>
      </c>
    </row>
    <row r="20" ht="45.75" customHeight="1" s="145">
      <c r="A20" s="223" t="inlineStr">
        <is>
          <t>Originality (не репост/не watermark)</t>
        </is>
      </c>
      <c r="B20" s="206" t="inlineStr">
        <is>
          <t>Оригинальный контент получает на 40–60% больше дистрибуции, чем репосты; watermark с других платформ детектируется и понижается.</t>
        </is>
      </c>
      <c r="C20" s="284" t="inlineStr">
        <is>
          <t>Критический</t>
        </is>
      </c>
    </row>
    <row r="21" ht="45.75" customHeight="1" s="145">
      <c r="A21" s="225" t="inlineStr">
        <is>
          <t>«Your Algorithm» topic controls (с дек. 2025)</t>
        </is>
      </c>
      <c r="B21" s="209" t="inlineStr">
        <is>
          <t>Пользователи явно выбирают темы в настройках. Контент без чёткой нишевой принадлежности становится «невидимым» — прямое обоснование нишевой сегментации в 02 Accounts.</t>
        </is>
      </c>
      <c r="C21" s="283" t="inlineStr">
        <is>
          <t>Высокий</t>
        </is>
      </c>
    </row>
    <row r="22" ht="45.75" customHeight="1" s="145">
      <c r="A22" s="223" t="inlineStr">
        <is>
          <t>Account-level baseline engagement</t>
        </is>
      </c>
      <c r="B22" s="206" t="inlineStr">
        <is>
          <t>Алгоритм сравнивает каждый новый пост со средним engagement аккаунта — устойчиво слабые посты тянут вниз весь аккаунт.</t>
        </is>
      </c>
      <c r="C22" s="282" t="inlineStr">
        <is>
          <t>Средний</t>
        </is>
      </c>
    </row>
    <row r="24" ht="21.75" customHeight="1" s="145">
      <c r="A24" s="278" t="inlineStr">
        <is>
          <t xml:space="preserve">  В. КАК ЭТО КОМПЕНСИРОВАТЬ В СТРАТЕГИИ</t>
        </is>
      </c>
    </row>
    <row r="25" ht="21.75" customHeight="1" s="145">
      <c r="A25" s="156" t="inlineStr">
        <is>
          <t>Действие</t>
        </is>
      </c>
      <c r="B25" s="156" t="inlineStr">
        <is>
          <t>Почему это работает</t>
        </is>
      </c>
      <c r="C25" s="156" t="inlineStr">
        <is>
          <t>Где в системе</t>
        </is>
      </c>
    </row>
    <row r="26" ht="39.75" customHeight="1" s="145">
      <c r="A26" s="285" t="inlineStr">
        <is>
          <t>Трансформировать, а не просто записывать</t>
        </is>
      </c>
      <c r="B26" s="206" t="inlineStr">
        <is>
          <t>Монтаж + личный комментарий + субтитры поверх любого скринкаста переводит контент из категории «репост» в «оригинальный».</t>
        </is>
      </c>
      <c r="C26" s="286" t="inlineStr">
        <is>
          <t>05 Pipeline, шаг 6</t>
        </is>
      </c>
    </row>
    <row r="27" ht="39.75" customHeight="1" s="145">
      <c r="A27" s="287" t="inlineStr">
        <is>
          <t>Живой голос на части аккаунтов</t>
        </is>
      </c>
      <c r="B27" s="209" t="inlineStr">
        <is>
          <t>Снижает однородность «акустического отпечатка», повышает ощущение creator presence хотя бы на флагманских каналах.</t>
        </is>
      </c>
      <c r="C27" s="288" t="inlineStr">
        <is>
          <t>06 Team, 07 AI Stack</t>
        </is>
      </c>
    </row>
    <row r="28" ht="39.75" customHeight="1" s="145">
      <c r="A28" s="285" t="inlineStr">
        <is>
          <t>Тестировать форматы на холодную аудиторию перед широким постингом</t>
        </is>
      </c>
      <c r="B28" s="206" t="inlineStr">
        <is>
          <t>Снижает риск размытия baseline-engagement аккаунта слабым форматом до его публикации основной аудитории.</t>
        </is>
      </c>
      <c r="C28" s="286" t="inlineStr">
        <is>
          <t>01 Strategy, принцип 3</t>
        </is>
      </c>
    </row>
    <row r="29" ht="39.75" customHeight="1" s="145">
      <c r="A29" s="287" t="inlineStr">
        <is>
          <t>Мониторить non-follower reach % ежедневно</t>
        </is>
      </c>
      <c r="B29" s="209" t="inlineStr">
        <is>
          <t>Канареечная метрика: падение сигналит о проблеме раньше, чем падают абсолютные просмотры.</t>
        </is>
      </c>
      <c r="C29" s="288" t="inlineStr">
        <is>
          <t>08 KPI Dashboard</t>
        </is>
      </c>
    </row>
    <row r="30" ht="39.75" customHeight="1" s="145">
      <c r="A30" s="285" t="inlineStr">
        <is>
          <t>Держать 1 чёткую нишу на аккаунт</t>
        </is>
      </c>
      <c r="B30" s="206" t="inlineStr">
        <is>
          <t>Прямой ответ на topic-controls — контент должен однозначно попадать в одну выбираемую пользователем категорию.</t>
        </is>
      </c>
      <c r="C30" s="286" t="inlineStr">
        <is>
          <t>02 Accounts</t>
        </is>
      </c>
    </row>
    <row r="31" ht="39.75" customHeight="1" s="145">
      <c r="A31" s="287" t="inlineStr">
        <is>
          <t>Вариативность подачи между 15 аккаунтами</t>
        </is>
      </c>
      <c r="B31" s="209" t="inlineStr">
        <is>
          <t>Разные хуки/темп/монтаж снижают вероятность паттерн-детекции «шаблонности» по экосистеме целиком.</t>
        </is>
      </c>
      <c r="C31" s="288" t="inlineStr">
        <is>
          <t>04 Content Engine</t>
        </is>
      </c>
    </row>
    <row r="32" ht="39.75" customHeight="1" s="145">
      <c r="A32" s="285" t="inlineStr">
        <is>
          <t>CTA на вопрос + ответ в первые 30 минут</t>
        </is>
      </c>
      <c r="B32" s="206" t="inlineStr">
        <is>
          <t>Прямой, подтверждённый алгоритмический сигнал — глубина комментариев весит больше их количества.</t>
        </is>
      </c>
      <c r="C32" s="286" t="inlineStr">
        <is>
          <t>06 Team — Менеджер аккаунтов</t>
        </is>
      </c>
    </row>
    <row r="33" ht="39.75" customHeight="1" s="145">
      <c r="A33" s="287" t="inlineStr">
        <is>
          <t>QC-шлюз = «существенная человеческая редактура»</t>
        </is>
      </c>
      <c r="B33" s="209" t="inlineStr">
        <is>
          <t>Снимает риск обязательной AI-маркировки по EU AI Act Статья 50 и одновременно поднимает качество.</t>
        </is>
      </c>
      <c r="C33" s="288" t="inlineStr">
        <is>
          <t>05 Pipeline, шаг 7</t>
        </is>
      </c>
    </row>
    <row r="35" ht="30" customHeight="1" s="145">
      <c r="A35" s="202" t="inlineStr">
        <is>
          <t>Источники: Adam Mosseri (Instagram Head), публичные заявления янв. 2025 – июнь 2026; обзоры алгоритма Reels 2026 от Hootsuite, Buffer, Later, Sprout Social; обзоры политики маркировки AI-контента Meta и EU AI Act, 2026. Цифры и пороги могут измениться — перепроверяйте раз в квартал.</t>
        </is>
      </c>
    </row>
  </sheetData>
  <mergeCells count="7">
    <mergeCell ref="A1:C1"/>
    <mergeCell ref="A5:C5"/>
    <mergeCell ref="A14:C14"/>
    <mergeCell ref="A3:C3"/>
    <mergeCell ref="A35:C35"/>
    <mergeCell ref="A24:C24"/>
    <mergeCell ref="A2:C2"/>
  </mergeCells>
  <printOptions horizontalCentered="0" verticalCentered="0" headings="0" gridLines="0" gridLinesSet="1"/>
  <pageMargins left="0.3" right="0.3" top="0.4" bottom="0.4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telegram_id</t>
        </is>
      </c>
      <c r="B1" t="inlineStr">
        <is>
          <t>telegram_username</t>
        </is>
      </c>
      <c r="C1" t="inlineStr">
        <is>
          <t>email</t>
        </is>
      </c>
      <c r="D1" t="inlineStr">
        <is>
          <t>submitted_at</t>
        </is>
      </c>
      <c r="E1" t="inlineStr">
        <is>
          <t>source</t>
        </is>
      </c>
    </row>
    <row r="2">
      <c r="A2" t="n">
        <v>1019994796</v>
      </c>
      <c r="B2" t="inlineStr">
        <is>
          <t>gost3n</t>
        </is>
      </c>
      <c r="C2" t="inlineStr">
        <is>
          <t>test@gmail.com</t>
        </is>
      </c>
      <c r="D2" t="inlineStr">
        <is>
          <t>2026-06-22T05:39:57.616288+00:00</t>
        </is>
      </c>
      <c r="E2" t="inlineStr">
        <is>
          <t>bot_v1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2026-06-21T12:56:43Z</dcterms:created>
  <dcterms:modified xsi:type="dcterms:W3CDTF">2026-06-22T05:39:57Z</dcterms:modified>
  <cp:revision>0</cp:revision>
</cp:coreProperties>
</file>